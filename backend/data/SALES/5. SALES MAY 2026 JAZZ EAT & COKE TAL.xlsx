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ISSE\REPORTS\MONTHLY REPORT\SALES\"/>
    </mc:Choice>
  </mc:AlternateContent>
  <xr:revisionPtr revIDLastSave="0" documentId="13_ncr:1_{C5A17820-8E07-4783-8F0D-AAA71D99D17A}" xr6:coauthVersionLast="47" xr6:coauthVersionMax="47" xr10:uidLastSave="{00000000-0000-0000-0000-000000000000}"/>
  <bookViews>
    <workbookView xWindow="-120" yWindow="-120" windowWidth="29040" windowHeight="15840" activeTab="1" xr2:uid="{2E9E6850-6C79-4ED3-B101-1FF413B31C2C}"/>
  </bookViews>
  <sheets>
    <sheet name="JAZZ EAT" sheetId="1" r:id="rId1"/>
    <sheet name="COKE" sheetId="2" r:id="rId2"/>
  </sheets>
  <definedNames>
    <definedName name="_xlnm._FilterDatabase" localSheetId="1" hidden="1">COKE!$A$5:$K$2314</definedName>
    <definedName name="_xlnm._FilterDatabase" localSheetId="0" hidden="1">'JAZZ EAT'!$A$5:$M$641</definedName>
    <definedName name="_xlnm.Print_Area" localSheetId="1">COKE!$A$1:$K$2317</definedName>
    <definedName name="_xlnm.Print_Area" localSheetId="0">'JAZZ EAT'!$A$1:$L$640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9" i="1" l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F641" i="1"/>
  <c r="G641" i="1"/>
  <c r="H641" i="1"/>
  <c r="J641" i="1"/>
  <c r="J1167" i="2" l="1"/>
  <c r="N1157" i="2" l="1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I550" i="1"/>
  <c r="I551" i="1"/>
  <c r="L551" i="1" s="1"/>
  <c r="I552" i="1"/>
  <c r="L552" i="1" s="1"/>
  <c r="I553" i="1"/>
  <c r="L553" i="1" s="1"/>
  <c r="I554" i="1"/>
  <c r="L554" i="1" s="1"/>
  <c r="I555" i="1"/>
  <c r="L555" i="1" s="1"/>
  <c r="I556" i="1"/>
  <c r="L556" i="1" s="1"/>
  <c r="I557" i="1"/>
  <c r="L557" i="1" s="1"/>
  <c r="I558" i="1"/>
  <c r="L558" i="1" s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E1158" i="2"/>
  <c r="F1158" i="2"/>
  <c r="G1158" i="2"/>
  <c r="I1158" i="2"/>
  <c r="L550" i="1" l="1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L520" i="1" s="1"/>
  <c r="I521" i="1"/>
  <c r="L521" i="1" s="1"/>
  <c r="I522" i="1"/>
  <c r="L522" i="1" s="1"/>
  <c r="I523" i="1"/>
  <c r="L523" i="1" s="1"/>
  <c r="I524" i="1"/>
  <c r="L524" i="1" s="1"/>
  <c r="I525" i="1"/>
  <c r="L525" i="1" s="1"/>
  <c r="I526" i="1"/>
  <c r="L526" i="1" s="1"/>
  <c r="I527" i="1"/>
  <c r="L527" i="1" s="1"/>
  <c r="I528" i="1"/>
  <c r="L528" i="1" s="1"/>
  <c r="I529" i="1"/>
  <c r="L529" i="1" s="1"/>
  <c r="I530" i="1"/>
  <c r="L530" i="1" s="1"/>
  <c r="I531" i="1"/>
  <c r="L531" i="1" s="1"/>
  <c r="I532" i="1"/>
  <c r="L532" i="1" s="1"/>
  <c r="I533" i="1"/>
  <c r="L533" i="1" s="1"/>
  <c r="I534" i="1"/>
  <c r="L534" i="1" s="1"/>
  <c r="I535" i="1"/>
  <c r="L535" i="1" s="1"/>
  <c r="I536" i="1"/>
  <c r="L536" i="1" s="1"/>
  <c r="I537" i="1"/>
  <c r="L537" i="1" s="1"/>
  <c r="I538" i="1"/>
  <c r="L538" i="1" s="1"/>
  <c r="I539" i="1"/>
  <c r="L539" i="1" s="1"/>
  <c r="I540" i="1"/>
  <c r="L540" i="1" s="1"/>
  <c r="I541" i="1"/>
  <c r="L541" i="1" s="1"/>
  <c r="I542" i="1"/>
  <c r="L542" i="1" s="1"/>
  <c r="I543" i="1"/>
  <c r="L543" i="1" s="1"/>
  <c r="I544" i="1"/>
  <c r="L544" i="1" s="1"/>
  <c r="I545" i="1"/>
  <c r="L545" i="1" s="1"/>
  <c r="I546" i="1"/>
  <c r="L546" i="1" s="1"/>
  <c r="I547" i="1"/>
  <c r="L547" i="1" s="1"/>
  <c r="I548" i="1"/>
  <c r="L548" i="1" s="1"/>
  <c r="I549" i="1"/>
  <c r="L549" i="1" s="1"/>
  <c r="N906" i="2"/>
  <c r="N720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I469" i="1"/>
  <c r="L469" i="1" s="1"/>
  <c r="I470" i="1"/>
  <c r="L470" i="1" s="1"/>
  <c r="I471" i="1"/>
  <c r="L471" i="1" s="1"/>
  <c r="I472" i="1"/>
  <c r="L472" i="1" s="1"/>
  <c r="I473" i="1"/>
  <c r="L473" i="1" s="1"/>
  <c r="I474" i="1"/>
  <c r="L474" i="1" s="1"/>
  <c r="I475" i="1"/>
  <c r="L475" i="1" s="1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I446" i="1" l="1"/>
  <c r="L446" i="1" s="1"/>
  <c r="I447" i="1"/>
  <c r="L447" i="1" s="1"/>
  <c r="I448" i="1"/>
  <c r="L448" i="1" s="1"/>
  <c r="I449" i="1"/>
  <c r="L449" i="1" s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L458" i="1" s="1"/>
  <c r="I459" i="1"/>
  <c r="L459" i="1" s="1"/>
  <c r="I460" i="1"/>
  <c r="L460" i="1" s="1"/>
  <c r="I461" i="1"/>
  <c r="L461" i="1" s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L434" i="1"/>
  <c r="L444" i="1"/>
  <c r="L445" i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I445" i="1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L389" i="1"/>
  <c r="L400" i="1"/>
  <c r="I389" i="1"/>
  <c r="I390" i="1"/>
  <c r="L390" i="1" s="1"/>
  <c r="I391" i="1"/>
  <c r="L391" i="1" s="1"/>
  <c r="I392" i="1"/>
  <c r="L392" i="1" s="1"/>
  <c r="I393" i="1"/>
  <c r="L393" i="1" s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I401" i="1"/>
  <c r="L401" i="1" s="1"/>
  <c r="I402" i="1"/>
  <c r="L402" i="1" s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L408" i="1" s="1"/>
  <c r="I409" i="1"/>
  <c r="L409" i="1" s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L366" i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I367" i="1"/>
  <c r="L367" i="1" s="1"/>
  <c r="I368" i="1"/>
  <c r="L368" i="1" s="1"/>
  <c r="I369" i="1"/>
  <c r="L369" i="1" s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L380" i="1" s="1"/>
  <c r="I381" i="1"/>
  <c r="L381" i="1" s="1"/>
  <c r="I382" i="1"/>
  <c r="L382" i="1" s="1"/>
  <c r="I383" i="1"/>
  <c r="L383" i="1" s="1"/>
  <c r="I384" i="1"/>
  <c r="L384" i="1" s="1"/>
  <c r="I385" i="1"/>
  <c r="L385" i="1" s="1"/>
  <c r="I386" i="1"/>
  <c r="L386" i="1" s="1"/>
  <c r="I387" i="1"/>
  <c r="L387" i="1" s="1"/>
  <c r="I388" i="1"/>
  <c r="L388" i="1" s="1"/>
  <c r="J1162" i="2"/>
  <c r="J651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35" i="2"/>
  <c r="J638" i="2"/>
  <c r="K638" i="2"/>
  <c r="N453" i="2"/>
  <c r="L1158" i="2"/>
  <c r="M1158" i="2"/>
  <c r="N559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818" i="2"/>
  <c r="N382" i="2"/>
  <c r="N343" i="2"/>
  <c r="N301" i="2"/>
  <c r="T289" i="2"/>
  <c r="N289" i="2"/>
  <c r="N205" i="2"/>
  <c r="N88" i="2"/>
  <c r="N68" i="2"/>
  <c r="N48" i="2"/>
  <c r="N26" i="2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J344" i="2"/>
  <c r="J497" i="2"/>
  <c r="J489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6" i="2"/>
  <c r="J637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K149" i="2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K273" i="2"/>
  <c r="J274" i="2"/>
  <c r="K274" i="2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K281" i="2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K290" i="2"/>
  <c r="J291" i="2"/>
  <c r="K291" i="2"/>
  <c r="J292" i="2"/>
  <c r="K292" i="2"/>
  <c r="J293" i="2"/>
  <c r="K293" i="2"/>
  <c r="J294" i="2"/>
  <c r="K294" i="2"/>
  <c r="J295" i="2"/>
  <c r="K295" i="2"/>
  <c r="J296" i="2"/>
  <c r="K296" i="2"/>
  <c r="J297" i="2"/>
  <c r="K297" i="2"/>
  <c r="J298" i="2"/>
  <c r="K298" i="2"/>
  <c r="J299" i="2"/>
  <c r="K299" i="2"/>
  <c r="J300" i="2"/>
  <c r="K300" i="2"/>
  <c r="J301" i="2"/>
  <c r="K301" i="2"/>
  <c r="J302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K344" i="2"/>
  <c r="J345" i="2"/>
  <c r="K345" i="2"/>
  <c r="J346" i="2"/>
  <c r="K346" i="2"/>
  <c r="J347" i="2"/>
  <c r="K347" i="2"/>
  <c r="J348" i="2"/>
  <c r="K348" i="2"/>
  <c r="J349" i="2"/>
  <c r="K349" i="2"/>
  <c r="J350" i="2"/>
  <c r="K350" i="2"/>
  <c r="J351" i="2"/>
  <c r="K351" i="2"/>
  <c r="J352" i="2"/>
  <c r="K352" i="2"/>
  <c r="J353" i="2"/>
  <c r="K353" i="2"/>
  <c r="J354" i="2"/>
  <c r="K354" i="2"/>
  <c r="J355" i="2"/>
  <c r="K355" i="2"/>
  <c r="J356" i="2"/>
  <c r="K356" i="2"/>
  <c r="J357" i="2"/>
  <c r="K357" i="2"/>
  <c r="J358" i="2"/>
  <c r="K358" i="2"/>
  <c r="J359" i="2"/>
  <c r="K359" i="2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K368" i="2"/>
  <c r="J369" i="2"/>
  <c r="K369" i="2"/>
  <c r="J370" i="2"/>
  <c r="K370" i="2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K394" i="2"/>
  <c r="J395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K414" i="2"/>
  <c r="J415" i="2"/>
  <c r="K415" i="2"/>
  <c r="J416" i="2"/>
  <c r="K416" i="2"/>
  <c r="J417" i="2"/>
  <c r="K417" i="2"/>
  <c r="J418" i="2"/>
  <c r="K418" i="2"/>
  <c r="J419" i="2"/>
  <c r="K419" i="2"/>
  <c r="J420" i="2"/>
  <c r="K420" i="2"/>
  <c r="J421" i="2"/>
  <c r="K421" i="2"/>
  <c r="J422" i="2"/>
  <c r="K422" i="2"/>
  <c r="J423" i="2"/>
  <c r="K423" i="2"/>
  <c r="J424" i="2"/>
  <c r="K424" i="2"/>
  <c r="J425" i="2"/>
  <c r="K425" i="2"/>
  <c r="J426" i="2"/>
  <c r="K426" i="2"/>
  <c r="J427" i="2"/>
  <c r="K427" i="2"/>
  <c r="J428" i="2"/>
  <c r="K428" i="2"/>
  <c r="J429" i="2"/>
  <c r="K429" i="2"/>
  <c r="J430" i="2"/>
  <c r="K430" i="2"/>
  <c r="J431" i="2"/>
  <c r="K431" i="2"/>
  <c r="J432" i="2"/>
  <c r="K432" i="2"/>
  <c r="J433" i="2"/>
  <c r="K433" i="2"/>
  <c r="J434" i="2"/>
  <c r="K434" i="2"/>
  <c r="J435" i="2"/>
  <c r="K435" i="2"/>
  <c r="J436" i="2"/>
  <c r="K436" i="2"/>
  <c r="J437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K452" i="2"/>
  <c r="J453" i="2"/>
  <c r="K453" i="2"/>
  <c r="J454" i="2"/>
  <c r="K454" i="2"/>
  <c r="J455" i="2"/>
  <c r="K455" i="2"/>
  <c r="J456" i="2"/>
  <c r="K456" i="2"/>
  <c r="J457" i="2"/>
  <c r="K457" i="2"/>
  <c r="J458" i="2"/>
  <c r="K458" i="2"/>
  <c r="J459" i="2"/>
  <c r="K459" i="2"/>
  <c r="J460" i="2"/>
  <c r="K460" i="2"/>
  <c r="J461" i="2"/>
  <c r="K461" i="2"/>
  <c r="J462" i="2"/>
  <c r="K462" i="2"/>
  <c r="J463" i="2"/>
  <c r="K463" i="2"/>
  <c r="J464" i="2"/>
  <c r="K464" i="2"/>
  <c r="J465" i="2"/>
  <c r="K465" i="2"/>
  <c r="J466" i="2"/>
  <c r="K466" i="2"/>
  <c r="J467" i="2"/>
  <c r="K467" i="2"/>
  <c r="J468" i="2"/>
  <c r="K468" i="2"/>
  <c r="J469" i="2"/>
  <c r="K469" i="2"/>
  <c r="J470" i="2"/>
  <c r="K470" i="2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K484" i="2"/>
  <c r="J485" i="2"/>
  <c r="K485" i="2"/>
  <c r="J486" i="2"/>
  <c r="K486" i="2"/>
  <c r="J487" i="2"/>
  <c r="K487" i="2"/>
  <c r="J488" i="2"/>
  <c r="K488" i="2"/>
  <c r="K489" i="2"/>
  <c r="J490" i="2"/>
  <c r="K490" i="2"/>
  <c r="J491" i="2"/>
  <c r="K491" i="2"/>
  <c r="J492" i="2"/>
  <c r="K492" i="2"/>
  <c r="J493" i="2"/>
  <c r="K493" i="2"/>
  <c r="J494" i="2"/>
  <c r="K494" i="2"/>
  <c r="J495" i="2"/>
  <c r="K495" i="2"/>
  <c r="J496" i="2"/>
  <c r="K496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1" i="2"/>
  <c r="K541" i="2"/>
  <c r="J542" i="2"/>
  <c r="K542" i="2"/>
  <c r="J543" i="2"/>
  <c r="K543" i="2"/>
  <c r="J544" i="2"/>
  <c r="K544" i="2"/>
  <c r="J545" i="2"/>
  <c r="K545" i="2"/>
  <c r="J546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K554" i="2"/>
  <c r="K555" i="2"/>
  <c r="K556" i="2"/>
  <c r="K557" i="2"/>
  <c r="K558" i="2"/>
  <c r="K559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K560" i="2"/>
  <c r="K561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F1171" i="2"/>
  <c r="G1171" i="2"/>
  <c r="I224" i="1"/>
  <c r="L224" i="1" s="1"/>
  <c r="K641" i="1"/>
  <c r="L38" i="1"/>
  <c r="L145" i="1"/>
  <c r="L147" i="1"/>
  <c r="L182" i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I146" i="1"/>
  <c r="L146" i="1" s="1"/>
  <c r="I147" i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6" i="1"/>
  <c r="I641" i="1" l="1"/>
  <c r="L6" i="1"/>
  <c r="H1158" i="2"/>
  <c r="L641" i="1"/>
  <c r="U289" i="2"/>
  <c r="N1158" i="2"/>
  <c r="J1161" i="2" s="1"/>
  <c r="G4" i="2"/>
  <c r="F4" i="2"/>
  <c r="K1158" i="2"/>
  <c r="I4" i="2"/>
  <c r="E4" i="2"/>
  <c r="H4" i="2" l="1"/>
  <c r="L645" i="1" l="1"/>
  <c r="L646" i="1" s="1"/>
  <c r="M548" i="1"/>
  <c r="G3" i="1" l="1"/>
  <c r="M600" i="1"/>
  <c r="M599" i="1"/>
  <c r="M598" i="1"/>
  <c r="M597" i="1"/>
  <c r="M596" i="1"/>
  <c r="M595" i="1"/>
  <c r="M594" i="1"/>
  <c r="M551" i="1"/>
  <c r="M550" i="1"/>
  <c r="M549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3" i="1"/>
  <c r="J3" i="1" l="1"/>
  <c r="I3" i="1"/>
  <c r="M641" i="1"/>
  <c r="L3" i="1" l="1"/>
  <c r="J1158" i="2"/>
  <c r="J4" i="2" l="1"/>
  <c r="J1168" i="2"/>
</calcChain>
</file>

<file path=xl/sharedStrings.xml><?xml version="1.0" encoding="utf-8"?>
<sst xmlns="http://schemas.openxmlformats.org/spreadsheetml/2006/main" count="5938" uniqueCount="903">
  <si>
    <t>ASKI MULTIPURPOSE COOPERATIVE</t>
  </si>
  <si>
    <t>SALES BOOK - JAZZ EAT RESTO</t>
  </si>
  <si>
    <t>DATE</t>
  </si>
  <si>
    <t>PARTICULAR</t>
  </si>
  <si>
    <t>OR</t>
  </si>
  <si>
    <t>TRANSACTION</t>
  </si>
  <si>
    <t>DESCRIPTION</t>
  </si>
  <si>
    <t>QTY</t>
  </si>
  <si>
    <t>COST</t>
  </si>
  <si>
    <t>SRP</t>
  </si>
  <si>
    <t>CASH SALE</t>
  </si>
  <si>
    <t>ACCOUNTS RECEIVABLE</t>
  </si>
  <si>
    <t>SALES DISCOUNT</t>
  </si>
  <si>
    <t>NET SALES</t>
  </si>
  <si>
    <t>COGS</t>
  </si>
  <si>
    <t>CRB</t>
  </si>
  <si>
    <t>GJ</t>
  </si>
  <si>
    <t>TOTAL</t>
  </si>
  <si>
    <t>VARIANCE</t>
  </si>
  <si>
    <t>FUND: JAZZ EAT</t>
  </si>
  <si>
    <t>SALES</t>
  </si>
  <si>
    <t>TO RECORD ADJUSTMENT ON SALES OF JAZZ EAT FOR THE MONTH OF __________ 2026.</t>
  </si>
  <si>
    <t>DUE FROM ____________</t>
  </si>
  <si>
    <t xml:space="preserve">SALES BOOK - COCA COLA TALAVERA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</si>
  <si>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</si>
  <si>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</si>
  <si>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DORC</t>
  </si>
  <si>
    <t>CRB (SALES)</t>
  </si>
  <si>
    <t>FUND:COKE TALAVERA</t>
  </si>
  <si>
    <t>DEPOSIT ON RETURNABLE CONTAINERS</t>
  </si>
  <si>
    <t>MISCELLANEOUS INCOME</t>
  </si>
  <si>
    <t>MAY 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</si>
  <si>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</si>
  <si>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</si>
  <si>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</si>
  <si>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</si>
  <si>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</si>
  <si>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</si>
  <si>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</si>
  <si>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</si>
  <si>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</si>
  <si>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</si>
  <si>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</si>
  <si>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</si>
  <si>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</si>
  <si>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</si>
  <si>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</si>
  <si>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444038</t>
  </si>
  <si>
    <t>444070</t>
  </si>
  <si>
    <t>444052</t>
  </si>
  <si>
    <t>444092</t>
  </si>
  <si>
    <t>444027</t>
  </si>
  <si>
    <t>444118</t>
  </si>
  <si>
    <t>444061</t>
  </si>
  <si>
    <t>444024</t>
  </si>
  <si>
    <t>444014</t>
  </si>
  <si>
    <t>444063</t>
  </si>
  <si>
    <t>444064</t>
  </si>
  <si>
    <t>444060</t>
  </si>
  <si>
    <t>444241</t>
  </si>
  <si>
    <t>444020</t>
  </si>
  <si>
    <t>444033</t>
  </si>
  <si>
    <t>444120</t>
  </si>
  <si>
    <t>444173</t>
  </si>
  <si>
    <t>444283</t>
  </si>
  <si>
    <t>444124</t>
  </si>
  <si>
    <t>444081</t>
  </si>
  <si>
    <t>444051</t>
  </si>
  <si>
    <t>444010</t>
  </si>
  <si>
    <t>444111</t>
  </si>
  <si>
    <t>444112</t>
  </si>
  <si>
    <t>444056</t>
  </si>
  <si>
    <t>444009</t>
  </si>
  <si>
    <t>444114</t>
  </si>
  <si>
    <t>444254</t>
  </si>
  <si>
    <t>444117</t>
  </si>
  <si>
    <t>444071</t>
  </si>
  <si>
    <t>444034</t>
  </si>
  <si>
    <t>444109</t>
  </si>
  <si>
    <t>444035</t>
  </si>
  <si>
    <t>444008</t>
  </si>
  <si>
    <t>444023</t>
  </si>
  <si>
    <t>444055</t>
  </si>
  <si>
    <t>444019</t>
  </si>
  <si>
    <t>444050</t>
  </si>
  <si>
    <t>444075</t>
  </si>
  <si>
    <t>444348</t>
  </si>
  <si>
    <t>444350</t>
  </si>
  <si>
    <t>444345</t>
  </si>
  <si>
    <t>444144</t>
  </si>
  <si>
    <t>444066</t>
  </si>
  <si>
    <t>444289</t>
  </si>
  <si>
    <t>444057</t>
  </si>
  <si>
    <t>444069</t>
  </si>
  <si>
    <t>444065</t>
  </si>
  <si>
    <t>444018</t>
  </si>
  <si>
    <t>444140</t>
  </si>
  <si>
    <t>444017</t>
  </si>
  <si>
    <t>444090</t>
  </si>
  <si>
    <t>444068</t>
  </si>
  <si>
    <t>444059</t>
  </si>
  <si>
    <t>444086</t>
  </si>
  <si>
    <t>444085</t>
  </si>
  <si>
    <t>444011</t>
  </si>
  <si>
    <t>444080</t>
  </si>
  <si>
    <t>444001</t>
  </si>
  <si>
    <t>444067</t>
  </si>
  <si>
    <t>444058</t>
  </si>
  <si>
    <t>444028</t>
  </si>
  <si>
    <t>444328</t>
  </si>
  <si>
    <t>444344</t>
  </si>
  <si>
    <t>444332</t>
  </si>
  <si>
    <t>444053</t>
  </si>
  <si>
    <t>444087</t>
  </si>
  <si>
    <t>444252</t>
  </si>
  <si>
    <t>444126</t>
  </si>
  <si>
    <t>444168</t>
  </si>
  <si>
    <t>444062</t>
  </si>
  <si>
    <t>444218</t>
  </si>
  <si>
    <t>444303</t>
  </si>
  <si>
    <t>444185</t>
  </si>
  <si>
    <t>444088</t>
  </si>
  <si>
    <t>444136</t>
  </si>
  <si>
    <t>444244</t>
  </si>
  <si>
    <t>444214</t>
  </si>
  <si>
    <t>444093</t>
  </si>
  <si>
    <t>444174</t>
  </si>
  <si>
    <t>444243</t>
  </si>
  <si>
    <t>444077</t>
  </si>
  <si>
    <t>444248</t>
  </si>
  <si>
    <t>0-143001</t>
  </si>
  <si>
    <t>0-143003</t>
  </si>
  <si>
    <t>0-143011</t>
  </si>
  <si>
    <t>0-143022</t>
  </si>
  <si>
    <t>0-143026</t>
  </si>
  <si>
    <t>0-143029</t>
  </si>
  <si>
    <t>0-143035</t>
  </si>
  <si>
    <t>0-143052</t>
  </si>
  <si>
    <t>0-143054</t>
  </si>
  <si>
    <t>0-143080</t>
  </si>
  <si>
    <t>0-143086</t>
  </si>
  <si>
    <t>0-143087</t>
  </si>
  <si>
    <t>0-143088</t>
  </si>
  <si>
    <t>0-143092</t>
  </si>
  <si>
    <t>0-143096</t>
  </si>
  <si>
    <t>0-143097</t>
  </si>
  <si>
    <t>0-143100</t>
  </si>
  <si>
    <t>0-143101</t>
  </si>
  <si>
    <t>0-143102</t>
  </si>
  <si>
    <t>0-143124</t>
  </si>
  <si>
    <t>0-143127</t>
  </si>
  <si>
    <t>0-143131</t>
  </si>
  <si>
    <t>0-143132</t>
  </si>
  <si>
    <t>0-143135</t>
  </si>
  <si>
    <t>0-143136</t>
  </si>
  <si>
    <t>0-143137</t>
  </si>
  <si>
    <t>0-143159</t>
  </si>
  <si>
    <t>0-143162</t>
  </si>
  <si>
    <t>0-143165</t>
  </si>
  <si>
    <t>0-143172</t>
  </si>
  <si>
    <t>0-143173</t>
  </si>
  <si>
    <t>0-143184</t>
  </si>
  <si>
    <t>0-143186</t>
  </si>
  <si>
    <t>0-143198</t>
  </si>
  <si>
    <t>0-143217</t>
  </si>
  <si>
    <t>0-143225</t>
  </si>
  <si>
    <t>0-143226</t>
  </si>
  <si>
    <t>0-143233</t>
  </si>
  <si>
    <t>0-143248</t>
  </si>
  <si>
    <t>0-143254</t>
  </si>
  <si>
    <t>0-143260</t>
  </si>
  <si>
    <t>0-143262</t>
  </si>
  <si>
    <t>0-143263</t>
  </si>
  <si>
    <t>0-143264</t>
  </si>
  <si>
    <t>0-143270</t>
  </si>
  <si>
    <t>0-143271</t>
  </si>
  <si>
    <t>0-143272</t>
  </si>
  <si>
    <t>0-143274</t>
  </si>
  <si>
    <t>0-143275</t>
  </si>
  <si>
    <t>0-143279</t>
  </si>
  <si>
    <t>0-143288</t>
  </si>
  <si>
    <t>0-143289</t>
  </si>
  <si>
    <t>0-143290</t>
  </si>
  <si>
    <t>0-143291</t>
  </si>
  <si>
    <t>0-143292</t>
  </si>
  <si>
    <t>0-143293</t>
  </si>
  <si>
    <t>0-143294</t>
  </si>
  <si>
    <t>0-143299</t>
  </si>
  <si>
    <t>0-143300</t>
  </si>
  <si>
    <t>0-143305</t>
  </si>
  <si>
    <t>0-143314</t>
  </si>
  <si>
    <t>0-143317</t>
  </si>
  <si>
    <t>0-143332</t>
  </si>
  <si>
    <t>0-143333</t>
  </si>
  <si>
    <t>0-143340</t>
  </si>
  <si>
    <t>0-143343</t>
  </si>
  <si>
    <t>0-143346</t>
  </si>
  <si>
    <t>0-143347</t>
  </si>
  <si>
    <t>0-143354</t>
  </si>
  <si>
    <t>0-143377</t>
  </si>
  <si>
    <t>0-143380</t>
  </si>
  <si>
    <t>0-143382</t>
  </si>
  <si>
    <t>0-143383</t>
  </si>
  <si>
    <t>0-143393</t>
  </si>
  <si>
    <t>0-143394</t>
  </si>
  <si>
    <t>0-143395</t>
  </si>
  <si>
    <t>0-143396</t>
  </si>
  <si>
    <t>0-143397</t>
  </si>
  <si>
    <t>0-143399</t>
  </si>
  <si>
    <t>0-143400</t>
  </si>
  <si>
    <t>0-143411</t>
  </si>
  <si>
    <t>0-143416</t>
  </si>
  <si>
    <t>0-143420</t>
  </si>
  <si>
    <t>0-143426</t>
  </si>
  <si>
    <t>0-143427</t>
  </si>
  <si>
    <t>0-143435</t>
  </si>
  <si>
    <t>0-143437</t>
  </si>
  <si>
    <t>0-143444</t>
  </si>
  <si>
    <t>0-143446</t>
  </si>
  <si>
    <t>0-143447</t>
  </si>
  <si>
    <t>0-143453</t>
  </si>
  <si>
    <t>0-143455</t>
  </si>
  <si>
    <t>0-143456</t>
  </si>
  <si>
    <t>0-143465</t>
  </si>
  <si>
    <t>0-143466</t>
  </si>
  <si>
    <t>0-143468</t>
  </si>
  <si>
    <t>SIZZLING GISING GISING</t>
  </si>
  <si>
    <t>STEAM RICE - SINGLE ORDER</t>
  </si>
  <si>
    <t>CANTON GUISADO - SINGLE ORDER</t>
  </si>
  <si>
    <t>JAZZ EAT HALO-HALO SPECIAL</t>
  </si>
  <si>
    <t>SQUID FRIES</t>
  </si>
  <si>
    <t>JAZZ EAT FRIED CHICKEN M.O.</t>
  </si>
  <si>
    <t>SOTANGHON - SMALL BILAO</t>
  </si>
  <si>
    <t>CRISPY KARE-KARE</t>
  </si>
  <si>
    <t>JAZZ EAT SWEET &amp; SOUR FISH FILLET M.O.</t>
  </si>
  <si>
    <t>SOTANGHON - LARGE BILAO</t>
  </si>
  <si>
    <t>PALABOK - SMALL BILAO</t>
  </si>
  <si>
    <t>CANTON GUISADO - LARGE BILAO</t>
  </si>
  <si>
    <t>BEEF CALDERETA</t>
  </si>
  <si>
    <t>JAZZ EAT PINAKBET NA BAGNET</t>
  </si>
  <si>
    <t>CRISPY PATA</t>
  </si>
  <si>
    <t>JAZZ EAT CHOPSUEY M.O.</t>
  </si>
  <si>
    <t>JAZZ EAT MICROWAVABLE-SMALL</t>
  </si>
  <si>
    <t>JAZZ EAT HAM SANDWICH</t>
  </si>
  <si>
    <t>JAZZ EAT FISH FILLET IN BLACK BEANS R.M.</t>
  </si>
  <si>
    <t>JAZZ EAT CLUB HOUSE</t>
  </si>
  <si>
    <t>LOMI - SINGLE ORDER</t>
  </si>
  <si>
    <t>JAZZ EAT BEEF SALPICAO M.O</t>
  </si>
  <si>
    <t>BUDGET MEAL W/ RICE</t>
  </si>
  <si>
    <t>BUDGET ULAM</t>
  </si>
  <si>
    <t>CANTON BIHON - MEDIUM BILAO</t>
  </si>
  <si>
    <t>JAZZ EAT PORK BISTEK R.M.</t>
  </si>
  <si>
    <t>BUDGET RICE</t>
  </si>
  <si>
    <t>JAZZ EAT SPAGHETTI IN TUB</t>
  </si>
  <si>
    <t>JAZZ EAT BUFFALO WING M.O.</t>
  </si>
  <si>
    <t>STEAM RICE - FAMILY</t>
  </si>
  <si>
    <t>SIZZLING PORK SISIG</t>
  </si>
  <si>
    <t>JAZZ EAT COKE 1.5</t>
  </si>
  <si>
    <t>SIZZLING CHICKEN SISIG</t>
  </si>
  <si>
    <t>JAZZ EAT PORK CHOP R.M.</t>
  </si>
  <si>
    <t>BEEF BROCOLLI</t>
  </si>
  <si>
    <t>CANTON BIHON - SMALL BILAO</t>
  </si>
  <si>
    <t>SINIGANG NA BABOY</t>
  </si>
  <si>
    <t>CANTON BIHON - SINGLE ORDER</t>
  </si>
  <si>
    <t>JAZZ EAT CRAB &amp; CORN SOUP</t>
  </si>
  <si>
    <t>JAZZ EAT FISH BALL</t>
  </si>
  <si>
    <t>JAZZ EAT KIKIAM</t>
  </si>
  <si>
    <t>JAZZ EAT BREAD PAN BUTTER 42G</t>
  </si>
  <si>
    <t>JAZZ EAT RICE MONGGO, FRIED BANGUS M.M.</t>
  </si>
  <si>
    <t>PALABOK - LARGE BILAO</t>
  </si>
  <si>
    <t>JAZZ EAT FOOD CATERING MATAAS NA KAHOY</t>
  </si>
  <si>
    <t>CANTON BIHON - LARGE BILAO</t>
  </si>
  <si>
    <t>SPAGHETTI - LARGE BILAO</t>
  </si>
  <si>
    <t>PALABOK - MEDIUM BILAO</t>
  </si>
  <si>
    <t>SINIGANG NA ULO NG SALMON</t>
  </si>
  <si>
    <t>JAZZ EAT LUMPIA SHANGHAI</t>
  </si>
  <si>
    <t>SINIGANG NA HIPON</t>
  </si>
  <si>
    <t>JAZZ EAT BLACK GULAMAN SPECIAL</t>
  </si>
  <si>
    <t>SPAGHETTI - MEDUIM BILAO</t>
  </si>
  <si>
    <t>CANTON GUISADO - MEDIUM BILAO</t>
  </si>
  <si>
    <t>JAZZ EAT LEMON ICE TEA</t>
  </si>
  <si>
    <t>JAZZ EAT CUCUMBER JUICE</t>
  </si>
  <si>
    <t>JAZZ EAT BEEF TERIYAKI R.M.</t>
  </si>
  <si>
    <t>JAZZ EAT CHICKEN SANDWICH</t>
  </si>
  <si>
    <t>TAPSILOG</t>
  </si>
  <si>
    <t>SPAGHETTI - SMALL BILAO</t>
  </si>
  <si>
    <t>CANTON GUISADO - SMALL BILAO</t>
  </si>
  <si>
    <t>LECHON KAWALI</t>
  </si>
  <si>
    <t>JAZZ EAT SPAGHETTI (S)</t>
  </si>
  <si>
    <t>JAZZ EAT BUTTER CREAM CRACKERS LECHE FLAN FLAVOR 25G</t>
  </si>
  <si>
    <t>JAZZ EAT CREAM-O CHOCO FUDGE</t>
  </si>
  <si>
    <t>SOTANGHON - SINGLE ORDER</t>
  </si>
  <si>
    <t>JAZZ EAT LEMON ICE TEA PITCHER</t>
  </si>
  <si>
    <t>JAZZ EAT SIR JAS COMBO PACKAGE</t>
  </si>
  <si>
    <t>JAZZ EAT PORK LIEMPO</t>
  </si>
  <si>
    <t>JAZZ EAT TURON (2 FOR 30)</t>
  </si>
  <si>
    <t>SOTANGHON - MEDIUM BILAO</t>
  </si>
  <si>
    <t>JAZZ EAT PACKING PAG ASA GYM</t>
  </si>
  <si>
    <t>JAZZ EAT SIR JAS FOOD PACK</t>
  </si>
  <si>
    <t>JAZZ EAT PORK BINAGOONGAN M.O.</t>
  </si>
  <si>
    <t>JAZZ EAT CUCUMBER JUICE PITCHER</t>
  </si>
  <si>
    <t>JAZZ EAT POR BBQ</t>
  </si>
  <si>
    <t>DELIVERY CHARGE 30</t>
  </si>
  <si>
    <t>JAZZ EAT KAMOTE CHIPS &amp; FRIED BANANA</t>
  </si>
  <si>
    <t>JAZZ EAT BREWED COFFEE</t>
  </si>
  <si>
    <t>TEMPURA-JAPANESE</t>
  </si>
  <si>
    <t>JAZZ EAT ALUMINUM FOIL TRAY</t>
  </si>
  <si>
    <t>JAZZ EAT CREAMY MUSHROOM SOUP</t>
  </si>
  <si>
    <t xml:space="preserve">JAZZ EAT PORK SHANGHAI </t>
  </si>
  <si>
    <t>4801981091348</t>
  </si>
  <si>
    <t>4801981091355</t>
  </si>
  <si>
    <t>8881234567902</t>
  </si>
  <si>
    <t>8881234567837</t>
  </si>
  <si>
    <t>8881234567885</t>
  </si>
  <si>
    <t>8881234567839</t>
  </si>
  <si>
    <t>8881234567881</t>
  </si>
  <si>
    <t>8881234567896</t>
  </si>
  <si>
    <t>8881234567888</t>
  </si>
  <si>
    <t>8881234567891</t>
  </si>
  <si>
    <t>8881234567892</t>
  </si>
  <si>
    <t>8881234567894</t>
  </si>
  <si>
    <t>8881234567846</t>
  </si>
  <si>
    <t>8881234567898</t>
  </si>
  <si>
    <t>8881234567899</t>
  </si>
  <si>
    <t>4801981126866</t>
  </si>
  <si>
    <t>8881234567883</t>
  </si>
  <si>
    <t>8881234567887</t>
  </si>
  <si>
    <t>4801981164851</t>
  </si>
  <si>
    <t>8881234567890</t>
  </si>
  <si>
    <t>8881234567882</t>
  </si>
  <si>
    <t>8881234567853</t>
  </si>
  <si>
    <t>4801981107971</t>
  </si>
  <si>
    <t>4801981119981</t>
  </si>
  <si>
    <t>8881234567880</t>
  </si>
  <si>
    <t>8881234567850</t>
  </si>
  <si>
    <t>8881234567884</t>
  </si>
  <si>
    <t>8881234567895</t>
  </si>
  <si>
    <t>4801981164868</t>
  </si>
  <si>
    <t>0-003784</t>
  </si>
  <si>
    <t>0-003785</t>
  </si>
  <si>
    <t>0-003786</t>
  </si>
  <si>
    <t>0-003787</t>
  </si>
  <si>
    <t>0-003788</t>
  </si>
  <si>
    <t>0-003789</t>
  </si>
  <si>
    <t>0-003790</t>
  </si>
  <si>
    <t>0-003791</t>
  </si>
  <si>
    <t>0-003792</t>
  </si>
  <si>
    <t>0-003793</t>
  </si>
  <si>
    <t>0-003794</t>
  </si>
  <si>
    <t>0-003795</t>
  </si>
  <si>
    <t>0-003796</t>
  </si>
  <si>
    <t>0-003797</t>
  </si>
  <si>
    <t>0-003798</t>
  </si>
  <si>
    <t>0-003799</t>
  </si>
  <si>
    <t>0-003800</t>
  </si>
  <si>
    <t>0-003801</t>
  </si>
  <si>
    <t>0-003802</t>
  </si>
  <si>
    <t>0-003803</t>
  </si>
  <si>
    <t>0-003804</t>
  </si>
  <si>
    <t>0-003805</t>
  </si>
  <si>
    <t>0-003806</t>
  </si>
  <si>
    <t>0-003807</t>
  </si>
  <si>
    <t>0-003808</t>
  </si>
  <si>
    <t>0-003809</t>
  </si>
  <si>
    <t>0-003810</t>
  </si>
  <si>
    <t>0-003811</t>
  </si>
  <si>
    <t>0-003812</t>
  </si>
  <si>
    <t>0-003813</t>
  </si>
  <si>
    <t>0-003814</t>
  </si>
  <si>
    <t>0-003815</t>
  </si>
  <si>
    <t>0-003816</t>
  </si>
  <si>
    <t>0-003817</t>
  </si>
  <si>
    <t>0-003818</t>
  </si>
  <si>
    <t>0-003819</t>
  </si>
  <si>
    <t>0-003820</t>
  </si>
  <si>
    <t>0-003821</t>
  </si>
  <si>
    <t>0-003822</t>
  </si>
  <si>
    <t>0-003823</t>
  </si>
  <si>
    <t>0-003824</t>
  </si>
  <si>
    <t>0-003825</t>
  </si>
  <si>
    <t>0-003826</t>
  </si>
  <si>
    <t>0-003827</t>
  </si>
  <si>
    <t>0-003828</t>
  </si>
  <si>
    <t>0-003829</t>
  </si>
  <si>
    <t>0-003830</t>
  </si>
  <si>
    <t>0-003831</t>
  </si>
  <si>
    <t>0-003832</t>
  </si>
  <si>
    <t>0-003833</t>
  </si>
  <si>
    <t>0-003834</t>
  </si>
  <si>
    <t>0-003835</t>
  </si>
  <si>
    <t>0-003836</t>
  </si>
  <si>
    <t>0-003837</t>
  </si>
  <si>
    <t>0-003838</t>
  </si>
  <si>
    <t>0-003839</t>
  </si>
  <si>
    <t>0-003840</t>
  </si>
  <si>
    <t>0-003841</t>
  </si>
  <si>
    <t>0-003842</t>
  </si>
  <si>
    <t>0-003843</t>
  </si>
  <si>
    <t>0-003844</t>
  </si>
  <si>
    <t>0-003845</t>
  </si>
  <si>
    <t>0-003846</t>
  </si>
  <si>
    <t>0-003847</t>
  </si>
  <si>
    <t>0-003848</t>
  </si>
  <si>
    <t>0-003849</t>
  </si>
  <si>
    <t>0-003850</t>
  </si>
  <si>
    <t>0-003851</t>
  </si>
  <si>
    <t>0-003852</t>
  </si>
  <si>
    <t>0-003853</t>
  </si>
  <si>
    <t>0-003855</t>
  </si>
  <si>
    <t>0-003856</t>
  </si>
  <si>
    <t>0-003858</t>
  </si>
  <si>
    <t>0-003859</t>
  </si>
  <si>
    <t>0-003861</t>
  </si>
  <si>
    <t>0-003862</t>
  </si>
  <si>
    <t>0-003863</t>
  </si>
  <si>
    <t>0-003864</t>
  </si>
  <si>
    <t>0-003865</t>
  </si>
  <si>
    <t>0-003866</t>
  </si>
  <si>
    <t>0-003867</t>
  </si>
  <si>
    <t>0-003868</t>
  </si>
  <si>
    <t>0-003869</t>
  </si>
  <si>
    <t>0-003870</t>
  </si>
  <si>
    <t>0-003871</t>
  </si>
  <si>
    <t>0-003872</t>
  </si>
  <si>
    <t>0-003873</t>
  </si>
  <si>
    <t>0-003874</t>
  </si>
  <si>
    <t>0-003875</t>
  </si>
  <si>
    <t>0-003876</t>
  </si>
  <si>
    <t>0-003877</t>
  </si>
  <si>
    <t>0-003878</t>
  </si>
  <si>
    <t>0-003879</t>
  </si>
  <si>
    <t>0-003880</t>
  </si>
  <si>
    <t>0-003881</t>
  </si>
  <si>
    <t>0-003882</t>
  </si>
  <si>
    <t>0-003883</t>
  </si>
  <si>
    <t>0-003884</t>
  </si>
  <si>
    <t>0-003885</t>
  </si>
  <si>
    <t>0-003886</t>
  </si>
  <si>
    <t>0-003887</t>
  </si>
  <si>
    <t>0-003888</t>
  </si>
  <si>
    <t>0-003889</t>
  </si>
  <si>
    <t>0-003890</t>
  </si>
  <si>
    <t>0-003891</t>
  </si>
  <si>
    <t>0-003892</t>
  </si>
  <si>
    <t>0-003893</t>
  </si>
  <si>
    <t>0-003894</t>
  </si>
  <si>
    <t>0-003895</t>
  </si>
  <si>
    <t>0-003896</t>
  </si>
  <si>
    <t>0-003897</t>
  </si>
  <si>
    <t>0-003898</t>
  </si>
  <si>
    <t>0-003899</t>
  </si>
  <si>
    <t>COKE 1LTR.X12</t>
  </si>
  <si>
    <t>ROYAL 1LTR.X12</t>
  </si>
  <si>
    <t>SPRITE 1LTR.-2</t>
  </si>
  <si>
    <t>COKE 237ML - 2</t>
  </si>
  <si>
    <t>ROYAL TRU ORNG TALL 237ML-3</t>
  </si>
  <si>
    <t>SPRITE 237ML -2</t>
  </si>
  <si>
    <t>COKE KASALO 750ML-3</t>
  </si>
  <si>
    <t>COKE MISMO 290ML-3</t>
  </si>
  <si>
    <t>1.5L COKE-3</t>
  </si>
  <si>
    <t>1.5L SPRITE-3</t>
  </si>
  <si>
    <t>COKE SWAKTO 190ML-3</t>
  </si>
  <si>
    <t>ROYAL SWAKTO 190ML-3</t>
  </si>
  <si>
    <t>SPRITE SWAKTO 200ML - 2</t>
  </si>
  <si>
    <t>ROYAL MISMO 290ML-3</t>
  </si>
  <si>
    <t>SPRITE MISMO 290ML-3</t>
  </si>
  <si>
    <t>WILKINS 330ML</t>
  </si>
  <si>
    <t>SPRITE KASALO 750ML-3</t>
  </si>
  <si>
    <t>SPRITE TALL 237ML-3</t>
  </si>
  <si>
    <t>MINUTE MAID APPLE JUICE 200ML</t>
  </si>
  <si>
    <t>1.5L ROYAL-3</t>
  </si>
  <si>
    <t>ROYAL KASALO 750ML-3</t>
  </si>
  <si>
    <t>ROYAL 1.5L - 2</t>
  </si>
  <si>
    <t>WILKINS 500ML</t>
  </si>
  <si>
    <t>WILKINS 1L</t>
  </si>
  <si>
    <t>COKE ZERO MISMO 290ML</t>
  </si>
  <si>
    <t>ROYAL LEMON 237ML -2</t>
  </si>
  <si>
    <t>COKE TALL 237ML-3</t>
  </si>
  <si>
    <t>SPRITE SWAKTO 190ML-3</t>
  </si>
  <si>
    <t>MINUTE MAID ORANGE JUICE 200ML</t>
  </si>
  <si>
    <t>05/16/2026</t>
  </si>
  <si>
    <t>05/17/2026</t>
  </si>
  <si>
    <t>05/18/2026</t>
  </si>
  <si>
    <t>444094</t>
  </si>
  <si>
    <t>444226</t>
  </si>
  <si>
    <t>444016</t>
  </si>
  <si>
    <t>444255</t>
  </si>
  <si>
    <t>0-143478</t>
  </si>
  <si>
    <t>0-143479</t>
  </si>
  <si>
    <t>0-143480</t>
  </si>
  <si>
    <t>0-143481</t>
  </si>
  <si>
    <t>0-143482</t>
  </si>
  <si>
    <t>0-143485</t>
  </si>
  <si>
    <t>0-143493</t>
  </si>
  <si>
    <t>0-143494</t>
  </si>
  <si>
    <t>0-143508</t>
  </si>
  <si>
    <t>0-143509</t>
  </si>
  <si>
    <t>0-143510</t>
  </si>
  <si>
    <t>0-143511</t>
  </si>
  <si>
    <t>0-143512</t>
  </si>
  <si>
    <t>0-143513</t>
  </si>
  <si>
    <t>0-143514</t>
  </si>
  <si>
    <t>0-143515</t>
  </si>
  <si>
    <t>0-143519</t>
  </si>
  <si>
    <t>0-143523</t>
  </si>
  <si>
    <t>0-143524</t>
  </si>
  <si>
    <t>0-143533</t>
  </si>
  <si>
    <t>0-143534</t>
  </si>
  <si>
    <t>0-143539</t>
  </si>
  <si>
    <t>0-143541</t>
  </si>
  <si>
    <t>0-143542</t>
  </si>
  <si>
    <t>0-143550</t>
  </si>
  <si>
    <t>0-143556</t>
  </si>
  <si>
    <t>0-143572</t>
  </si>
  <si>
    <t>0-143574</t>
  </si>
  <si>
    <t>0-143575</t>
  </si>
  <si>
    <t>0-143576</t>
  </si>
  <si>
    <t>0-143577</t>
  </si>
  <si>
    <t>JAZZ EAT CLASSIC COFFEE</t>
  </si>
  <si>
    <t>JAZZ EAT WILKINS 330ML</t>
  </si>
  <si>
    <t>JAZZ EAT SINAMPALUKANG MANOK</t>
  </si>
  <si>
    <t>JAZZ EAT TASEC FOOD PACKAGE</t>
  </si>
  <si>
    <t>0-003900</t>
  </si>
  <si>
    <t>0-003901</t>
  </si>
  <si>
    <t>0-003902</t>
  </si>
  <si>
    <t>0-003903</t>
  </si>
  <si>
    <t>0-003904</t>
  </si>
  <si>
    <t>0-003905</t>
  </si>
  <si>
    <t>0-003906</t>
  </si>
  <si>
    <t>0-003907</t>
  </si>
  <si>
    <t>0-003908</t>
  </si>
  <si>
    <t>0-003909</t>
  </si>
  <si>
    <t>0-003910</t>
  </si>
  <si>
    <t>0-003911</t>
  </si>
  <si>
    <t>0-003912</t>
  </si>
  <si>
    <t>0-003913</t>
  </si>
  <si>
    <t>0-003914</t>
  </si>
  <si>
    <t>0-003915</t>
  </si>
  <si>
    <t>0-003916</t>
  </si>
  <si>
    <t>0-003917</t>
  </si>
  <si>
    <t>0-003918</t>
  </si>
  <si>
    <t>MI</t>
  </si>
  <si>
    <t>05/19/2026</t>
  </si>
  <si>
    <t>444130</t>
  </si>
  <si>
    <t>0-143584</t>
  </si>
  <si>
    <t>0-143585</t>
  </si>
  <si>
    <t>0-143587</t>
  </si>
  <si>
    <t>0-143588</t>
  </si>
  <si>
    <t>0-143591</t>
  </si>
  <si>
    <t>0-143592</t>
  </si>
  <si>
    <t>0-143608</t>
  </si>
  <si>
    <t>0-143612</t>
  </si>
  <si>
    <t>JAZZ EAT CHOPSUEY R.M.</t>
  </si>
  <si>
    <t>RETURN</t>
  </si>
  <si>
    <t>4801981091362</t>
  </si>
  <si>
    <t>0-003919</t>
  </si>
  <si>
    <t>0-003920</t>
  </si>
  <si>
    <t>0-003922</t>
  </si>
  <si>
    <t>0-003923</t>
  </si>
  <si>
    <t>0-003924</t>
  </si>
  <si>
    <t>0-003927</t>
  </si>
  <si>
    <t>0-003928</t>
  </si>
  <si>
    <t>0-003930</t>
  </si>
  <si>
    <t>0-003931</t>
  </si>
  <si>
    <t>0-003932</t>
  </si>
  <si>
    <t>0-003933</t>
  </si>
  <si>
    <t>0-003934</t>
  </si>
  <si>
    <t>0-003935</t>
  </si>
  <si>
    <t>0-003936</t>
  </si>
  <si>
    <t>0-003937</t>
  </si>
  <si>
    <t>0-003938</t>
  </si>
  <si>
    <t>0-003939</t>
  </si>
  <si>
    <t>COKE MISMO 290ML - 3</t>
  </si>
  <si>
    <t>ROYAL MISMO 250ML - 3</t>
  </si>
  <si>
    <t>SPRITE MISMO 290ML - 3</t>
  </si>
  <si>
    <t>COKE 237ML TALL</t>
  </si>
  <si>
    <t>COKE SWAKTO 190ML - 3</t>
  </si>
  <si>
    <t>ROYAL 237ML TALL</t>
  </si>
  <si>
    <t>ROYAL 750ML - 3</t>
  </si>
  <si>
    <t>SPRITE 750ML - 3</t>
  </si>
  <si>
    <t>COKE 1.5L - 3</t>
  </si>
  <si>
    <t>SPRITE 1.5L - 3</t>
  </si>
  <si>
    <t>COKE 1L</t>
  </si>
  <si>
    <t>SPRITE 1L</t>
  </si>
  <si>
    <t>SPRITE 237ML - 2</t>
  </si>
  <si>
    <t>ROYAL SWAKTO 190ML - 3</t>
  </si>
  <si>
    <t>05/20/2026</t>
  </si>
  <si>
    <t>444302</t>
  </si>
  <si>
    <t>444004</t>
  </si>
  <si>
    <t>444347</t>
  </si>
  <si>
    <t>444106</t>
  </si>
  <si>
    <t>444208</t>
  </si>
  <si>
    <t>444110</t>
  </si>
  <si>
    <t>444325</t>
  </si>
  <si>
    <t>0-143640</t>
  </si>
  <si>
    <t>0-143641</t>
  </si>
  <si>
    <t>0-143642</t>
  </si>
  <si>
    <t>0-143643</t>
  </si>
  <si>
    <t>0-143644</t>
  </si>
  <si>
    <t>0-143645</t>
  </si>
  <si>
    <t>0-143646</t>
  </si>
  <si>
    <t>0-143650</t>
  </si>
  <si>
    <t>0-143656</t>
  </si>
  <si>
    <t>0-143657</t>
  </si>
  <si>
    <t>0-143667</t>
  </si>
  <si>
    <t>0-143669</t>
  </si>
  <si>
    <t>0-143670</t>
  </si>
  <si>
    <t>0-143673</t>
  </si>
  <si>
    <t>0-143679</t>
  </si>
  <si>
    <t>0-143680</t>
  </si>
  <si>
    <t>0-143681</t>
  </si>
  <si>
    <t>DELIVERY CHARGE 40</t>
  </si>
  <si>
    <t>HOTSILOG</t>
  </si>
  <si>
    <t>JAZZ EAT SKYFLAKES CRACKERS 25G</t>
  </si>
  <si>
    <t>JAZZ EAT PINEAPPLE JUICE</t>
  </si>
  <si>
    <t>JAZZ EAT TGH SNACKS</t>
  </si>
  <si>
    <t>JAZZ EAT COKE SWAKTO</t>
  </si>
  <si>
    <t>JAZZ EAT SPRITE SWAKTO 200ML</t>
  </si>
  <si>
    <t>0-003941</t>
  </si>
  <si>
    <t>0-003942</t>
  </si>
  <si>
    <t>0-003943</t>
  </si>
  <si>
    <t>0-003945</t>
  </si>
  <si>
    <t>0-003946</t>
  </si>
  <si>
    <t>0-003947</t>
  </si>
  <si>
    <t>0-003948</t>
  </si>
  <si>
    <t>0-003950</t>
  </si>
  <si>
    <t>SPRITE 237ML TALL</t>
  </si>
  <si>
    <t>SPRITE SWAKTO 190ML - 3</t>
  </si>
  <si>
    <t>05/21/2026</t>
  </si>
  <si>
    <t>444116</t>
  </si>
  <si>
    <t>444186</t>
  </si>
  <si>
    <t>444160</t>
  </si>
  <si>
    <t>0-143690</t>
  </si>
  <si>
    <t>0-143691</t>
  </si>
  <si>
    <t>0-143693</t>
  </si>
  <si>
    <t>0-143694</t>
  </si>
  <si>
    <t>0-143695</t>
  </si>
  <si>
    <t>0-143696</t>
  </si>
  <si>
    <t>0-143715</t>
  </si>
  <si>
    <t>0-143716</t>
  </si>
  <si>
    <t>0-143717</t>
  </si>
  <si>
    <t>0-143721</t>
  </si>
  <si>
    <t>0-143724</t>
  </si>
  <si>
    <t>0-143725</t>
  </si>
  <si>
    <t>JAZZ EAT DINUGUAN</t>
  </si>
  <si>
    <t>JAZZ EAT VINO FONTANA SWEET RED 750ML</t>
  </si>
  <si>
    <t>JAZZ EAT ALFONSO LIGHT</t>
  </si>
  <si>
    <t>ROYAL 1.5L - 3</t>
  </si>
  <si>
    <t>ROYAL LEMON 237ML - 2</t>
  </si>
  <si>
    <t>0-003951</t>
  </si>
  <si>
    <t>0-003952</t>
  </si>
  <si>
    <t>0-003953</t>
  </si>
  <si>
    <t>0-003955</t>
  </si>
  <si>
    <t>0-003956</t>
  </si>
  <si>
    <t>0-003957</t>
  </si>
  <si>
    <t>0-003958</t>
  </si>
  <si>
    <t>0-003959</t>
  </si>
  <si>
    <t>0-003960</t>
  </si>
  <si>
    <t>0-003961</t>
  </si>
  <si>
    <t>0-003962</t>
  </si>
  <si>
    <t>0-003963</t>
  </si>
  <si>
    <t>0-003964</t>
  </si>
  <si>
    <t>0-003965</t>
  </si>
  <si>
    <t>0-003966</t>
  </si>
  <si>
    <t>0-003967</t>
  </si>
  <si>
    <t>0-003968</t>
  </si>
  <si>
    <t>0-003969</t>
  </si>
  <si>
    <t>0-003970</t>
  </si>
  <si>
    <t>0-003971</t>
  </si>
  <si>
    <t>0-003972</t>
  </si>
  <si>
    <t>0-003973</t>
  </si>
  <si>
    <t>05/22/2026</t>
  </si>
  <si>
    <t>444147</t>
  </si>
  <si>
    <t>444073</t>
  </si>
  <si>
    <t>0-143730</t>
  </si>
  <si>
    <t>0-143739</t>
  </si>
  <si>
    <t>0-143744</t>
  </si>
  <si>
    <t>0-143749</t>
  </si>
  <si>
    <t>0-143750</t>
  </si>
  <si>
    <t>0-143755</t>
  </si>
  <si>
    <t>0-143761</t>
  </si>
  <si>
    <t>0-143762</t>
  </si>
  <si>
    <t>0-143763</t>
  </si>
  <si>
    <t>JAZZ EAT DINAKDAKAN</t>
  </si>
  <si>
    <t>GARLIC RICE - FAMILY</t>
  </si>
  <si>
    <t>4801981092376</t>
  </si>
  <si>
    <t>0-003974</t>
  </si>
  <si>
    <t>0-003975</t>
  </si>
  <si>
    <t>0-003976</t>
  </si>
  <si>
    <t>0-003977</t>
  </si>
  <si>
    <t>0-003978</t>
  </si>
  <si>
    <t>0-003979</t>
  </si>
  <si>
    <t>0-003980</t>
  </si>
  <si>
    <t>0-003981</t>
  </si>
  <si>
    <t>0-003982</t>
  </si>
  <si>
    <t>0-003983</t>
  </si>
  <si>
    <t>0-003984</t>
  </si>
  <si>
    <t>0-003985</t>
  </si>
  <si>
    <t>0-003986</t>
  </si>
  <si>
    <t>0-003987</t>
  </si>
  <si>
    <t>0-003988</t>
  </si>
  <si>
    <t>0-003989</t>
  </si>
  <si>
    <t>0-003990</t>
  </si>
  <si>
    <t>0-003991</t>
  </si>
  <si>
    <t>0-003992</t>
  </si>
  <si>
    <t>0-003993</t>
  </si>
  <si>
    <t>0-003994</t>
  </si>
  <si>
    <t>0-003995</t>
  </si>
  <si>
    <t>0-003996</t>
  </si>
  <si>
    <t>0-003997</t>
  </si>
  <si>
    <t>WILKINS 330MLX12</t>
  </si>
  <si>
    <t>05/23/2026</t>
  </si>
  <si>
    <t>05/24/2026</t>
  </si>
  <si>
    <t>0-143767</t>
  </si>
  <si>
    <t>0-143770</t>
  </si>
  <si>
    <t>0-143785</t>
  </si>
  <si>
    <t>0-143788</t>
  </si>
  <si>
    <t>0-143796</t>
  </si>
  <si>
    <t>0-143797</t>
  </si>
  <si>
    <t>0-143799</t>
  </si>
  <si>
    <t>0-143803</t>
  </si>
  <si>
    <t>0-143804</t>
  </si>
  <si>
    <t>0-143805</t>
  </si>
  <si>
    <t>0-143806</t>
  </si>
  <si>
    <t>0-003998</t>
  </si>
  <si>
    <t>0-003999</t>
  </si>
  <si>
    <t>0-004000</t>
  </si>
  <si>
    <t>0-004001</t>
  </si>
  <si>
    <t>0-004002</t>
  </si>
  <si>
    <t>0-004003</t>
  </si>
  <si>
    <t>05/25/2026</t>
  </si>
  <si>
    <t>444015</t>
  </si>
  <si>
    <t>444213</t>
  </si>
  <si>
    <t>0-143820</t>
  </si>
  <si>
    <t>0-143826</t>
  </si>
  <si>
    <t>0-143827</t>
  </si>
  <si>
    <t>0-143834</t>
  </si>
  <si>
    <t>FISH FILLET IN BLACK BEANS</t>
  </si>
  <si>
    <t>JAZZ EAT ASKI FOUNDATION PACKAGE</t>
  </si>
  <si>
    <t>0-004004</t>
  </si>
  <si>
    <t>0-004005</t>
  </si>
  <si>
    <t>0-004006</t>
  </si>
  <si>
    <t>0-004007</t>
  </si>
  <si>
    <t>0-004008</t>
  </si>
  <si>
    <t>0-004009</t>
  </si>
  <si>
    <t>0-004010</t>
  </si>
  <si>
    <t>0-004011</t>
  </si>
  <si>
    <t>0-004012</t>
  </si>
  <si>
    <t>0-004013</t>
  </si>
  <si>
    <t>0-004014</t>
  </si>
  <si>
    <t>0-004015</t>
  </si>
  <si>
    <t>0-004016</t>
  </si>
  <si>
    <t>0-004017</t>
  </si>
  <si>
    <t>0-004018</t>
  </si>
  <si>
    <t>0-004019</t>
  </si>
  <si>
    <t>0-004020</t>
  </si>
  <si>
    <t>0-004021</t>
  </si>
  <si>
    <t>05/26/2026</t>
  </si>
  <si>
    <t>05/27/2026</t>
  </si>
  <si>
    <t>444164</t>
  </si>
  <si>
    <t>444180</t>
  </si>
  <si>
    <t>444207</t>
  </si>
  <si>
    <t>444137</t>
  </si>
  <si>
    <t>444032</t>
  </si>
  <si>
    <t>0-143840</t>
  </si>
  <si>
    <t>0-143844</t>
  </si>
  <si>
    <t>0-143852</t>
  </si>
  <si>
    <t>0-143854</t>
  </si>
  <si>
    <t>0-143879</t>
  </si>
  <si>
    <t>0-143880</t>
  </si>
  <si>
    <t>0-143881</t>
  </si>
  <si>
    <t>0-143885</t>
  </si>
  <si>
    <t>0-143888</t>
  </si>
  <si>
    <t>0-143898</t>
  </si>
  <si>
    <t>0-143903</t>
  </si>
  <si>
    <t>0-143907</t>
  </si>
  <si>
    <t>0-143913</t>
  </si>
  <si>
    <t>0-143926</t>
  </si>
  <si>
    <t>0-143927</t>
  </si>
  <si>
    <t>0-143929</t>
  </si>
  <si>
    <t>0-143932</t>
  </si>
  <si>
    <t>0-143942</t>
  </si>
  <si>
    <t>0-143946</t>
  </si>
  <si>
    <t>0-143949</t>
  </si>
  <si>
    <t>0-143950</t>
  </si>
  <si>
    <t>JAZZ EAT BEEF SALPICAO R.M.</t>
  </si>
  <si>
    <t>JAZZ EAT TGH FOOD PACKAGE</t>
  </si>
  <si>
    <t>JAZZ EAT SPAGHETTI SOLO</t>
  </si>
  <si>
    <t>JAZZ EAT MINUTE MAID PACK</t>
  </si>
  <si>
    <t>CHILI GARLIC PRAWN</t>
  </si>
  <si>
    <t>0-004022</t>
  </si>
  <si>
    <t>0-004023</t>
  </si>
  <si>
    <t>0-004024</t>
  </si>
  <si>
    <t>0-004025</t>
  </si>
  <si>
    <t>0-004026</t>
  </si>
  <si>
    <t>0-004027</t>
  </si>
  <si>
    <t>0-004028</t>
  </si>
  <si>
    <t>0-004029</t>
  </si>
  <si>
    <t>0-004030</t>
  </si>
  <si>
    <t>0-004031</t>
  </si>
  <si>
    <t>0-004032</t>
  </si>
  <si>
    <t>0-004033</t>
  </si>
  <si>
    <t>0-004034</t>
  </si>
  <si>
    <t>0-004035</t>
  </si>
  <si>
    <t>0-004036</t>
  </si>
  <si>
    <t>0-004037</t>
  </si>
  <si>
    <t>0-004038</t>
  </si>
  <si>
    <t>0-004039</t>
  </si>
  <si>
    <t>0-004040</t>
  </si>
  <si>
    <t>0-004041</t>
  </si>
  <si>
    <t>0-004042</t>
  </si>
  <si>
    <t>0-004043</t>
  </si>
  <si>
    <t>0-004044</t>
  </si>
  <si>
    <t>0-004045</t>
  </si>
  <si>
    <t>0-004046</t>
  </si>
  <si>
    <t>0-004047</t>
  </si>
  <si>
    <t>0-004048</t>
  </si>
  <si>
    <t>05/28/2026</t>
  </si>
  <si>
    <t>0-143961</t>
  </si>
  <si>
    <t>0-143962</t>
  </si>
  <si>
    <t>0-143969</t>
  </si>
  <si>
    <t>0-004049</t>
  </si>
  <si>
    <t>0-004050</t>
  </si>
  <si>
    <t>0-004051</t>
  </si>
  <si>
    <t>0-004052</t>
  </si>
  <si>
    <t>0-004053</t>
  </si>
  <si>
    <t>0-004054</t>
  </si>
  <si>
    <t>0-004055</t>
  </si>
  <si>
    <t>0-004056</t>
  </si>
  <si>
    <t>0-004057</t>
  </si>
  <si>
    <t>0-004058</t>
  </si>
  <si>
    <t>0-004059</t>
  </si>
  <si>
    <t>0-004060</t>
  </si>
  <si>
    <t>05/29/2026</t>
  </si>
  <si>
    <t>05/30/2026</t>
  </si>
  <si>
    <t>8881234567836</t>
  </si>
  <si>
    <t>888123456781401</t>
  </si>
  <si>
    <t>888123456781314</t>
  </si>
  <si>
    <t>0-004061</t>
  </si>
  <si>
    <t>0-004062</t>
  </si>
  <si>
    <t>0-004063</t>
  </si>
  <si>
    <t>0-004064</t>
  </si>
  <si>
    <t>0-004065</t>
  </si>
  <si>
    <t>0-004066</t>
  </si>
  <si>
    <t>0-004067</t>
  </si>
  <si>
    <t>0-004068</t>
  </si>
  <si>
    <t>0-004069</t>
  </si>
  <si>
    <t>0-004070</t>
  </si>
  <si>
    <t>0-004071</t>
  </si>
  <si>
    <t>0-004072</t>
  </si>
  <si>
    <t>0-004073</t>
  </si>
  <si>
    <t>0-004074</t>
  </si>
  <si>
    <t>0-004075</t>
  </si>
  <si>
    <t>0-004076</t>
  </si>
  <si>
    <t>0-004077</t>
  </si>
  <si>
    <t>0-004078</t>
  </si>
  <si>
    <t>COKE 237ML</t>
  </si>
  <si>
    <t>SPRITE 750ML</t>
  </si>
  <si>
    <t>COKE KASALO 750ML</t>
  </si>
  <si>
    <t>TO RECORD ADJUSTMENT ON SALES OF COKE TALAVERA FOR THE MONTH OF MAY 2026.</t>
  </si>
  <si>
    <t>05/31/2026</t>
  </si>
  <si>
    <t>444258</t>
  </si>
  <si>
    <t>444040</t>
  </si>
  <si>
    <t>444029</t>
  </si>
  <si>
    <t>444012</t>
  </si>
  <si>
    <t>444291</t>
  </si>
  <si>
    <t>0-143985</t>
  </si>
  <si>
    <t>0-143987</t>
  </si>
  <si>
    <t>0-143988</t>
  </si>
  <si>
    <t>0-143994</t>
  </si>
  <si>
    <t>0-143996</t>
  </si>
  <si>
    <t>0-144003</t>
  </si>
  <si>
    <t>0-144004</t>
  </si>
  <si>
    <t>0-144015</t>
  </si>
  <si>
    <t>0-144016</t>
  </si>
  <si>
    <t>0-144021</t>
  </si>
  <si>
    <t>0-144022</t>
  </si>
  <si>
    <t>0-144023</t>
  </si>
  <si>
    <t>0-144028</t>
  </si>
  <si>
    <t>0-144029</t>
  </si>
  <si>
    <t>0-144040</t>
  </si>
  <si>
    <t>0-144041</t>
  </si>
  <si>
    <t>0-144043</t>
  </si>
  <si>
    <t>0-144044</t>
  </si>
  <si>
    <t>0-144045</t>
  </si>
  <si>
    <t>0-144056</t>
  </si>
  <si>
    <t>0-144057</t>
  </si>
  <si>
    <t>0-144058</t>
  </si>
  <si>
    <t>0-144059</t>
  </si>
  <si>
    <t>0-144061</t>
  </si>
  <si>
    <t>0-144066</t>
  </si>
  <si>
    <t>0-144067</t>
  </si>
  <si>
    <t>0-144068</t>
  </si>
  <si>
    <t>0-144069</t>
  </si>
  <si>
    <t>0-144070</t>
  </si>
  <si>
    <t>0-144071</t>
  </si>
  <si>
    <t>0-144072</t>
  </si>
  <si>
    <t>0-144074</t>
  </si>
  <si>
    <t>CHICKEN CALDERETA</t>
  </si>
  <si>
    <t>TONKATSU PORK-JAPANESE</t>
  </si>
  <si>
    <t>PORK BISTEK</t>
  </si>
  <si>
    <t>JAZZ EAT BUFFALO WINGS R.M.</t>
  </si>
  <si>
    <t>JAZZ EAT COMBO MEAL CATHEDRAL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</si>
</sst>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5">
    <xf numFmtId="0" fontId="0" fillId="0" borderId="0" xfId="0"/>
    <xf numFmtId="43" fontId="4" fillId="0" borderId="0" xfId="1" applyFont="1" applyFill="1" applyAlignment="1">
      <alignment horizontal="center"/>
    </xf>
    <xf numFmtId="43" fontId="4" fillId="0" borderId="0" xfId="1" applyFont="1" applyFill="1"/>
    <xf numFmtId="43" fontId="3" fillId="0" borderId="1" xfId="1" applyFont="1" applyFill="1" applyBorder="1"/>
    <xf numFmtId="43" fontId="3" fillId="0" borderId="3" xfId="1" applyFont="1" applyFill="1" applyBorder="1" applyAlignment="1">
      <alignment horizontal="center" vertical="center" wrapText="1"/>
    </xf>
    <xf numFmtId="43" fontId="3" fillId="0" borderId="4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/>
    </xf>
    <xf numFmtId="43" fontId="4" fillId="0" borderId="8" xfId="1" applyFont="1" applyFill="1" applyBorder="1" applyAlignment="1">
      <alignment horizontal="center"/>
    </xf>
    <xf numFmtId="43" fontId="4" fillId="0" borderId="8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43" fontId="3" fillId="0" borderId="13" xfId="1" applyFont="1" applyFill="1" applyBorder="1" applyAlignment="1">
      <alignment horizontal="center"/>
    </xf>
    <xf numFmtId="43" fontId="3" fillId="0" borderId="14" xfId="1" applyFont="1" applyFill="1" applyBorder="1" applyAlignment="1">
      <alignment horizontal="center"/>
    </xf>
    <xf numFmtId="43" fontId="4" fillId="0" borderId="0" xfId="1" applyFont="1" applyFill="1" applyBorder="1"/>
    <xf numFmtId="43" fontId="3" fillId="0" borderId="0" xfId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4" fontId="3" fillId="0" borderId="0" xfId="0" quotePrefix="1" applyNumberFormat="1" applyFont="1" applyAlignment="1">
      <alignment horizontal="left"/>
    </xf>
    <xf numFmtId="43" fontId="3" fillId="0" borderId="1" xfId="0" applyNumberFormat="1" applyFont="1" applyBorder="1" applyAlignment="1">
      <alignment horizontal="center"/>
    </xf>
    <xf numFmtId="43" fontId="4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10" xfId="0" applyNumberFormat="1" applyFont="1" applyBorder="1"/>
    <xf numFmtId="164" fontId="4" fillId="0" borderId="11" xfId="0" applyNumberFormat="1" applyFont="1" applyBorder="1"/>
    <xf numFmtId="14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164" fontId="3" fillId="0" borderId="15" xfId="0" applyNumberFormat="1" applyFont="1" applyBorder="1"/>
    <xf numFmtId="14" fontId="4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/>
    </xf>
    <xf numFmtId="14" fontId="3" fillId="0" borderId="0" xfId="0" applyNumberFormat="1" applyFont="1"/>
    <xf numFmtId="43" fontId="4" fillId="0" borderId="0" xfId="1" applyFont="1" applyFill="1" applyAlignment="1">
      <alignment vertical="center"/>
    </xf>
    <xf numFmtId="17" fontId="3" fillId="0" borderId="0" xfId="0" quotePrefix="1" applyNumberFormat="1" applyFont="1"/>
    <xf numFmtId="43" fontId="3" fillId="0" borderId="1" xfId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3" fontId="3" fillId="0" borderId="16" xfId="1" applyFont="1" applyFill="1" applyBorder="1" applyAlignment="1">
      <alignment horizontal="center" vertical="center" wrapText="1"/>
    </xf>
    <xf numFmtId="43" fontId="3" fillId="0" borderId="10" xfId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4" fillId="0" borderId="18" xfId="1" applyNumberFormat="1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43" fontId="4" fillId="0" borderId="8" xfId="1" applyFont="1" applyFill="1" applyBorder="1"/>
    <xf numFmtId="43" fontId="4" fillId="0" borderId="19" xfId="1" applyFont="1" applyFill="1" applyBorder="1"/>
    <xf numFmtId="43" fontId="4" fillId="0" borderId="11" xfId="1" applyFont="1" applyFill="1" applyBorder="1"/>
    <xf numFmtId="0" fontId="7" fillId="0" borderId="8" xfId="0" applyFont="1" applyBorder="1" applyAlignment="1">
      <alignment horizontal="left" vertical="top"/>
    </xf>
    <xf numFmtId="164" fontId="4" fillId="0" borderId="0" xfId="0" applyNumberFormat="1" applyFont="1"/>
    <xf numFmtId="1" fontId="4" fillId="0" borderId="19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43" fontId="4" fillId="0" borderId="5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3" fillId="0" borderId="0" xfId="0" applyFont="1"/>
    <xf numFmtId="14" fontId="2" fillId="0" borderId="0" xfId="1" applyNumberFormat="1" applyFont="1" applyFill="1"/>
    <xf numFmtId="43" fontId="2" fillId="0" borderId="0" xfId="1" applyFont="1" applyFill="1"/>
    <xf numFmtId="43" fontId="8" fillId="0" borderId="0" xfId="1" applyFont="1" applyFill="1"/>
    <xf numFmtId="43" fontId="4" fillId="0" borderId="0" xfId="0" applyNumberFormat="1" applyFont="1" applyAlignment="1">
      <alignment horizontal="center"/>
    </xf>
    <xf numFmtId="43" fontId="6" fillId="0" borderId="0" xfId="1" applyFont="1" applyFill="1"/>
    <xf numFmtId="43" fontId="3" fillId="0" borderId="0" xfId="1" applyFont="1" applyFill="1"/>
    <xf numFmtId="43" fontId="4" fillId="0" borderId="9" xfId="1" applyFont="1" applyBorder="1"/>
    <xf numFmtId="43" fontId="4" fillId="2" borderId="19" xfId="1" applyFont="1" applyFill="1" applyBorder="1"/>
    <xf numFmtId="0" fontId="4" fillId="3" borderId="0" xfId="0" applyFont="1" applyFill="1"/>
    <xf numFmtId="43" fontId="4" fillId="4" borderId="19" xfId="1" applyFont="1" applyFill="1" applyBorder="1"/>
    <xf numFmtId="43" fontId="4" fillId="5" borderId="19" xfId="1" applyFont="1" applyFill="1" applyBorder="1"/>
    <xf numFmtId="43" fontId="4" fillId="6" borderId="19" xfId="1" applyFont="1" applyFill="1" applyBorder="1"/>
    <xf numFmtId="43" fontId="4" fillId="7" borderId="19" xfId="1" applyFont="1" applyFill="1" applyBorder="1"/>
    <xf numFmtId="43" fontId="4" fillId="8" borderId="19" xfId="1" applyFont="1" applyFill="1" applyBorder="1"/>
    <xf numFmtId="0" fontId="4" fillId="0" borderId="8" xfId="1" applyNumberFormat="1" applyFont="1" applyFill="1" applyBorder="1" applyAlignment="1">
      <alignment vertical="center"/>
    </xf>
    <xf numFmtId="4" fontId="4" fillId="0" borderId="8" xfId="1" applyNumberFormat="1" applyFont="1" applyFill="1" applyBorder="1" applyAlignment="1">
      <alignment vertical="center"/>
    </xf>
    <xf numFmtId="14" fontId="1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6AD8-60E9-4A04-BF54-F649931C1B51}">
  <sheetPr>
    <tabColor rgb="FF92D050"/>
  </sheetPr>
  <dimension ref="A1:N650"/>
  <sheetViews>
    <sheetView showGridLines="0" zoomScaleNormal="100" workbookViewId="0">
      <pane ySplit="5" topLeftCell="A638" activePane="bottomLeft" state="frozen"/>
      <selection activeCell="D281" sqref="D281"/>
      <selection pane="bottomLeft" activeCell="D659" sqref="D659"/>
    </sheetView>
  </sheetViews>
  <sheetFormatPr defaultColWidth="9.140625" defaultRowHeight="12.75" x14ac:dyDescent="0.2"/>
  <cols>
    <col min="1" max="1" width="12.5703125" style="39" customWidth="1"/>
    <col min="2" max="2" width="22.5703125" style="17" customWidth="1"/>
    <col min="3" max="3" width="7.140625" style="17" customWidth="1"/>
    <col min="4" max="4" width="14.140625" style="18" customWidth="1"/>
    <col min="5" max="5" width="37.85546875" style="18" customWidth="1"/>
    <col min="6" max="6" width="20.5703125" style="17" customWidth="1"/>
    <col min="7" max="7" width="16.7109375" style="17" customWidth="1"/>
    <col min="8" max="8" width="13.140625" style="1" customWidth="1"/>
    <col min="9" max="9" width="20.140625" style="1" customWidth="1"/>
    <col min="10" max="10" width="11.5703125" style="1" customWidth="1"/>
    <col min="11" max="11" width="13.85546875" style="2" customWidth="1"/>
    <col min="12" max="12" width="16" style="2" bestFit="1" customWidth="1"/>
    <col min="13" max="13" width="16" style="19" customWidth="1"/>
    <col min="14" max="14" width="12.5703125" style="19" bestFit="1" customWidth="1"/>
    <col min="15" max="15" width="22.5703125" style="19" customWidth="1"/>
    <col min="16" max="16" width="20.140625" style="19" customWidth="1"/>
    <col min="17" max="16384" width="9.140625" style="19"/>
  </cols>
  <sheetData>
    <row r="1" spans="1:14" x14ac:dyDescent="0.2">
      <c r="A1" s="16" t="s">
        <v>0</v>
      </c>
    </row>
    <row r="2" spans="1:14" ht="13.5" thickBot="1" x14ac:dyDescent="0.25">
      <c r="A2" s="16" t="s">
        <v>1</v>
      </c>
    </row>
    <row r="3" spans="1:14" ht="13.5" thickBot="1" x14ac:dyDescent="0.25">
      <c r="A3" s="20" t="s">
        <v>31</v>
      </c>
      <c r="G3" s="21">
        <f>G641</f>
        <v>246708.46000000244</v>
      </c>
      <c r="I3" s="3">
        <f>I641</f>
        <v>480236</v>
      </c>
      <c r="J3" s="3">
        <f>J641</f>
        <v>0</v>
      </c>
      <c r="K3" s="3">
        <f>K641</f>
        <v>384</v>
      </c>
      <c r="L3" s="3">
        <f>L641</f>
        <v>479852</v>
      </c>
      <c r="N3" s="22"/>
    </row>
    <row r="4" spans="1:14" ht="13.5" thickBot="1" x14ac:dyDescent="0.25">
      <c r="A4" s="23"/>
    </row>
    <row r="5" spans="1:14" s="29" customFormat="1" ht="45" customHeight="1" thickBot="1" x14ac:dyDescent="0.25">
      <c r="A5" s="24" t="s">
        <v>2</v>
      </c>
      <c r="B5" s="25" t="s">
        <v>3</v>
      </c>
      <c r="C5" s="26" t="s">
        <v>4</v>
      </c>
      <c r="D5" s="27" t="s">
        <v>5</v>
      </c>
      <c r="E5" s="26" t="s">
        <v>6</v>
      </c>
      <c r="F5" s="4" t="s">
        <v>7</v>
      </c>
      <c r="G5" s="26" t="s">
        <v>8</v>
      </c>
      <c r="H5" s="4" t="s">
        <v>9</v>
      </c>
      <c r="I5" s="5" t="s">
        <v>10</v>
      </c>
      <c r="J5" s="6" t="s">
        <v>11</v>
      </c>
      <c r="K5" s="7" t="s">
        <v>12</v>
      </c>
      <c r="L5" s="6" t="s">
        <v>13</v>
      </c>
      <c r="M5" s="28" t="s">
        <v>14</v>
      </c>
    </row>
    <row r="6" spans="1:14" ht="15" customHeight="1" x14ac:dyDescent="0.2">
      <c r="A6" s="30" t="s">
        <v>32</v>
      </c>
      <c r="B6" s="31" t="s">
        <v>47</v>
      </c>
      <c r="C6" s="8"/>
      <c r="D6" s="32" t="s">
        <v>130</v>
      </c>
      <c r="E6" s="32" t="s">
        <v>226</v>
      </c>
      <c r="F6" s="40">
        <v>1</v>
      </c>
      <c r="G6" s="9">
        <v>115.7</v>
      </c>
      <c r="H6" s="10">
        <v>188</v>
      </c>
      <c r="I6" s="10">
        <f>F6*H6</f>
        <v>188</v>
      </c>
      <c r="J6" s="11"/>
      <c r="K6" s="11">
        <v>0</v>
      </c>
      <c r="L6" s="74">
        <f>I6-K6</f>
        <v>188</v>
      </c>
      <c r="M6" s="33">
        <f t="shared" ref="M6:M154" si="0">F6*G6</f>
        <v>115.7</v>
      </c>
    </row>
    <row r="7" spans="1:14" ht="15" customHeight="1" x14ac:dyDescent="0.2">
      <c r="A7" s="30" t="s">
        <v>32</v>
      </c>
      <c r="B7" s="31" t="s">
        <v>48</v>
      </c>
      <c r="C7" s="8"/>
      <c r="D7" s="32" t="s">
        <v>131</v>
      </c>
      <c r="E7" s="32" t="s">
        <v>227</v>
      </c>
      <c r="F7" s="40">
        <v>3</v>
      </c>
      <c r="G7" s="9">
        <v>13</v>
      </c>
      <c r="H7" s="10">
        <v>20</v>
      </c>
      <c r="I7" s="10">
        <f t="shared" ref="I7:I70" si="1">F7*H7</f>
        <v>60</v>
      </c>
      <c r="J7" s="11"/>
      <c r="K7" s="11">
        <v>0</v>
      </c>
      <c r="L7" s="74">
        <f t="shared" ref="L7:L70" si="2">I7-K7</f>
        <v>60</v>
      </c>
      <c r="M7" s="34">
        <f t="shared" si="0"/>
        <v>39</v>
      </c>
    </row>
    <row r="8" spans="1:14" ht="15" customHeight="1" x14ac:dyDescent="0.2">
      <c r="A8" s="30" t="s">
        <v>32</v>
      </c>
      <c r="B8" s="31" t="s">
        <v>49</v>
      </c>
      <c r="C8" s="8"/>
      <c r="D8" s="32"/>
      <c r="E8" s="32" t="s">
        <v>228</v>
      </c>
      <c r="F8" s="40">
        <v>1</v>
      </c>
      <c r="G8" s="9">
        <v>58</v>
      </c>
      <c r="H8" s="10">
        <v>88</v>
      </c>
      <c r="I8" s="10">
        <f t="shared" si="1"/>
        <v>88</v>
      </c>
      <c r="J8" s="11"/>
      <c r="K8" s="11">
        <v>0</v>
      </c>
      <c r="L8" s="74">
        <f t="shared" si="2"/>
        <v>88</v>
      </c>
      <c r="M8" s="34">
        <f t="shared" si="0"/>
        <v>58</v>
      </c>
    </row>
    <row r="9" spans="1:14" ht="15" customHeight="1" x14ac:dyDescent="0.2">
      <c r="A9" s="30" t="s">
        <v>32</v>
      </c>
      <c r="B9" s="31" t="s">
        <v>50</v>
      </c>
      <c r="C9" s="8"/>
      <c r="D9" s="32"/>
      <c r="E9" s="32" t="s">
        <v>229</v>
      </c>
      <c r="F9" s="40">
        <v>1</v>
      </c>
      <c r="G9" s="9">
        <v>44.2</v>
      </c>
      <c r="H9" s="10">
        <v>78</v>
      </c>
      <c r="I9" s="10">
        <f t="shared" si="1"/>
        <v>78</v>
      </c>
      <c r="J9" s="11"/>
      <c r="K9" s="11">
        <v>0</v>
      </c>
      <c r="L9" s="74">
        <f t="shared" si="2"/>
        <v>78</v>
      </c>
      <c r="M9" s="34">
        <f t="shared" si="0"/>
        <v>44.2</v>
      </c>
    </row>
    <row r="10" spans="1:14" ht="15" customHeight="1" x14ac:dyDescent="0.2">
      <c r="A10" s="30" t="s">
        <v>32</v>
      </c>
      <c r="B10" s="31" t="s">
        <v>51</v>
      </c>
      <c r="C10" s="8"/>
      <c r="D10" s="32"/>
      <c r="E10" s="32" t="s">
        <v>230</v>
      </c>
      <c r="F10" s="40">
        <v>1</v>
      </c>
      <c r="G10" s="9">
        <v>180</v>
      </c>
      <c r="H10" s="10">
        <v>228</v>
      </c>
      <c r="I10" s="10">
        <f t="shared" si="1"/>
        <v>228</v>
      </c>
      <c r="J10" s="11"/>
      <c r="K10" s="11">
        <v>0</v>
      </c>
      <c r="L10" s="74">
        <f t="shared" si="2"/>
        <v>228</v>
      </c>
      <c r="M10" s="34">
        <f t="shared" si="0"/>
        <v>180</v>
      </c>
    </row>
    <row r="11" spans="1:14" ht="15" customHeight="1" x14ac:dyDescent="0.2">
      <c r="A11" s="30" t="s">
        <v>32</v>
      </c>
      <c r="B11" s="31" t="s">
        <v>52</v>
      </c>
      <c r="C11" s="8"/>
      <c r="D11" s="32"/>
      <c r="E11" s="32" t="s">
        <v>231</v>
      </c>
      <c r="F11" s="40">
        <v>1</v>
      </c>
      <c r="G11" s="9">
        <v>158</v>
      </c>
      <c r="H11" s="10">
        <v>228</v>
      </c>
      <c r="I11" s="10">
        <f t="shared" si="1"/>
        <v>228</v>
      </c>
      <c r="J11" s="11"/>
      <c r="K11" s="11">
        <v>0</v>
      </c>
      <c r="L11" s="74">
        <f t="shared" si="2"/>
        <v>228</v>
      </c>
      <c r="M11" s="34">
        <f t="shared" si="0"/>
        <v>158</v>
      </c>
    </row>
    <row r="12" spans="1:14" ht="15" customHeight="1" x14ac:dyDescent="0.2">
      <c r="A12" s="30" t="s">
        <v>32</v>
      </c>
      <c r="B12" s="31" t="s">
        <v>47</v>
      </c>
      <c r="C12" s="8"/>
      <c r="D12" s="32"/>
      <c r="E12" s="32" t="s">
        <v>226</v>
      </c>
      <c r="F12" s="40">
        <v>1</v>
      </c>
      <c r="G12" s="9">
        <v>115.7</v>
      </c>
      <c r="H12" s="10">
        <v>188</v>
      </c>
      <c r="I12" s="10">
        <f t="shared" si="1"/>
        <v>188</v>
      </c>
      <c r="J12" s="11"/>
      <c r="K12" s="11">
        <v>0</v>
      </c>
      <c r="L12" s="74">
        <f t="shared" si="2"/>
        <v>188</v>
      </c>
      <c r="M12" s="34">
        <f t="shared" si="0"/>
        <v>115.7</v>
      </c>
    </row>
    <row r="13" spans="1:14" ht="15" customHeight="1" x14ac:dyDescent="0.2">
      <c r="A13" s="30" t="s">
        <v>33</v>
      </c>
      <c r="B13" s="31" t="s">
        <v>53</v>
      </c>
      <c r="C13" s="8"/>
      <c r="D13" s="32" t="s">
        <v>132</v>
      </c>
      <c r="E13" s="32" t="s">
        <v>232</v>
      </c>
      <c r="F13" s="40">
        <v>1</v>
      </c>
      <c r="G13" s="9">
        <v>187.2</v>
      </c>
      <c r="H13" s="10">
        <v>288</v>
      </c>
      <c r="I13" s="10">
        <f t="shared" si="1"/>
        <v>288</v>
      </c>
      <c r="J13" s="11"/>
      <c r="K13" s="11">
        <v>0</v>
      </c>
      <c r="L13" s="74">
        <f t="shared" si="2"/>
        <v>288</v>
      </c>
      <c r="M13" s="34">
        <f t="shared" si="0"/>
        <v>187.2</v>
      </c>
    </row>
    <row r="14" spans="1:14" ht="15" customHeight="1" x14ac:dyDescent="0.2">
      <c r="A14" s="30" t="s">
        <v>33</v>
      </c>
      <c r="B14" s="31" t="s">
        <v>47</v>
      </c>
      <c r="C14" s="8"/>
      <c r="D14" s="32"/>
      <c r="E14" s="32" t="s">
        <v>226</v>
      </c>
      <c r="F14" s="40">
        <v>1</v>
      </c>
      <c r="G14" s="9">
        <v>115.7</v>
      </c>
      <c r="H14" s="10">
        <v>188</v>
      </c>
      <c r="I14" s="10">
        <f t="shared" si="1"/>
        <v>188</v>
      </c>
      <c r="J14" s="11"/>
      <c r="K14" s="11">
        <v>0</v>
      </c>
      <c r="L14" s="74">
        <f t="shared" si="2"/>
        <v>188</v>
      </c>
      <c r="M14" s="34">
        <f t="shared" si="0"/>
        <v>115.7</v>
      </c>
    </row>
    <row r="15" spans="1:14" ht="15" customHeight="1" x14ac:dyDescent="0.2">
      <c r="A15" s="30" t="s">
        <v>33</v>
      </c>
      <c r="B15" s="31" t="s">
        <v>54</v>
      </c>
      <c r="C15" s="8"/>
      <c r="D15" s="32"/>
      <c r="E15" s="32" t="s">
        <v>233</v>
      </c>
      <c r="F15" s="40">
        <v>2</v>
      </c>
      <c r="G15" s="9">
        <v>115.7</v>
      </c>
      <c r="H15" s="10">
        <v>188</v>
      </c>
      <c r="I15" s="10">
        <f t="shared" si="1"/>
        <v>376</v>
      </c>
      <c r="J15" s="11"/>
      <c r="K15" s="11">
        <v>0</v>
      </c>
      <c r="L15" s="74">
        <f t="shared" si="2"/>
        <v>376</v>
      </c>
      <c r="M15" s="34">
        <f t="shared" si="0"/>
        <v>231.4</v>
      </c>
    </row>
    <row r="16" spans="1:14" ht="15" customHeight="1" x14ac:dyDescent="0.2">
      <c r="A16" s="30" t="s">
        <v>33</v>
      </c>
      <c r="B16" s="31" t="s">
        <v>55</v>
      </c>
      <c r="C16" s="8"/>
      <c r="D16" s="32" t="s">
        <v>133</v>
      </c>
      <c r="E16" s="32" t="s">
        <v>234</v>
      </c>
      <c r="F16" s="40">
        <v>1</v>
      </c>
      <c r="G16" s="9">
        <v>63.7</v>
      </c>
      <c r="H16" s="10">
        <v>228</v>
      </c>
      <c r="I16" s="10">
        <f t="shared" si="1"/>
        <v>228</v>
      </c>
      <c r="J16" s="11"/>
      <c r="K16" s="11">
        <v>0</v>
      </c>
      <c r="L16" s="74">
        <f t="shared" si="2"/>
        <v>228</v>
      </c>
      <c r="M16" s="34">
        <f t="shared" si="0"/>
        <v>63.7</v>
      </c>
    </row>
    <row r="17" spans="1:13" ht="15" customHeight="1" x14ac:dyDescent="0.2">
      <c r="A17" s="30" t="s">
        <v>33</v>
      </c>
      <c r="B17" s="31" t="s">
        <v>56</v>
      </c>
      <c r="C17" s="8"/>
      <c r="D17" s="32" t="s">
        <v>134</v>
      </c>
      <c r="E17" s="32" t="s">
        <v>235</v>
      </c>
      <c r="F17" s="40">
        <v>1</v>
      </c>
      <c r="G17" s="9">
        <v>421.2</v>
      </c>
      <c r="H17" s="10">
        <v>648</v>
      </c>
      <c r="I17" s="10">
        <f t="shared" si="1"/>
        <v>648</v>
      </c>
      <c r="J17" s="11"/>
      <c r="K17" s="11">
        <v>0</v>
      </c>
      <c r="L17" s="74">
        <f t="shared" si="2"/>
        <v>648</v>
      </c>
      <c r="M17" s="34">
        <f t="shared" si="0"/>
        <v>421.2</v>
      </c>
    </row>
    <row r="18" spans="1:13" ht="15" customHeight="1" x14ac:dyDescent="0.2">
      <c r="A18" s="30" t="s">
        <v>33</v>
      </c>
      <c r="B18" s="31" t="s">
        <v>57</v>
      </c>
      <c r="C18" s="8"/>
      <c r="D18" s="32" t="s">
        <v>135</v>
      </c>
      <c r="E18" s="32" t="s">
        <v>236</v>
      </c>
      <c r="F18" s="40">
        <v>1</v>
      </c>
      <c r="G18" s="9">
        <v>187.2</v>
      </c>
      <c r="H18" s="10">
        <v>288</v>
      </c>
      <c r="I18" s="10">
        <f t="shared" si="1"/>
        <v>288</v>
      </c>
      <c r="J18" s="11"/>
      <c r="K18" s="11">
        <v>0</v>
      </c>
      <c r="L18" s="74">
        <f t="shared" si="2"/>
        <v>288</v>
      </c>
      <c r="M18" s="34">
        <f t="shared" si="0"/>
        <v>187.2</v>
      </c>
    </row>
    <row r="19" spans="1:13" ht="15" customHeight="1" x14ac:dyDescent="0.2">
      <c r="A19" s="30" t="s">
        <v>33</v>
      </c>
      <c r="B19" s="31" t="s">
        <v>58</v>
      </c>
      <c r="C19" s="8"/>
      <c r="D19" s="32" t="s">
        <v>136</v>
      </c>
      <c r="E19" s="32" t="s">
        <v>237</v>
      </c>
      <c r="F19" s="40">
        <v>1</v>
      </c>
      <c r="G19" s="9">
        <v>421.2</v>
      </c>
      <c r="H19" s="10">
        <v>648</v>
      </c>
      <c r="I19" s="10">
        <f t="shared" si="1"/>
        <v>648</v>
      </c>
      <c r="J19" s="11"/>
      <c r="K19" s="11">
        <v>0</v>
      </c>
      <c r="L19" s="74">
        <f t="shared" si="2"/>
        <v>648</v>
      </c>
      <c r="M19" s="34">
        <f t="shared" si="0"/>
        <v>421.2</v>
      </c>
    </row>
    <row r="20" spans="1:13" ht="15" customHeight="1" x14ac:dyDescent="0.2">
      <c r="A20" s="30" t="s">
        <v>34</v>
      </c>
      <c r="B20" s="31" t="s">
        <v>59</v>
      </c>
      <c r="C20" s="8"/>
      <c r="D20" s="32" t="s">
        <v>137</v>
      </c>
      <c r="E20" s="32" t="s">
        <v>238</v>
      </c>
      <c r="F20" s="40">
        <v>1</v>
      </c>
      <c r="G20" s="9">
        <v>218</v>
      </c>
      <c r="H20" s="10">
        <v>298</v>
      </c>
      <c r="I20" s="10">
        <f t="shared" si="1"/>
        <v>298</v>
      </c>
      <c r="J20" s="11"/>
      <c r="K20" s="11">
        <v>0</v>
      </c>
      <c r="L20" s="74">
        <f t="shared" si="2"/>
        <v>298</v>
      </c>
      <c r="M20" s="34">
        <f t="shared" si="0"/>
        <v>218</v>
      </c>
    </row>
    <row r="21" spans="1:13" ht="15" customHeight="1" x14ac:dyDescent="0.2">
      <c r="A21" s="30" t="s">
        <v>34</v>
      </c>
      <c r="B21" s="31" t="s">
        <v>60</v>
      </c>
      <c r="C21" s="8"/>
      <c r="D21" s="32"/>
      <c r="E21" s="32" t="s">
        <v>239</v>
      </c>
      <c r="F21" s="40">
        <v>1</v>
      </c>
      <c r="G21" s="9">
        <v>100</v>
      </c>
      <c r="H21" s="10">
        <v>188</v>
      </c>
      <c r="I21" s="10">
        <f t="shared" si="1"/>
        <v>188</v>
      </c>
      <c r="J21" s="11"/>
      <c r="K21" s="11">
        <v>0</v>
      </c>
      <c r="L21" s="74">
        <f t="shared" si="2"/>
        <v>188</v>
      </c>
      <c r="M21" s="34">
        <f t="shared" si="0"/>
        <v>100</v>
      </c>
    </row>
    <row r="22" spans="1:13" ht="15" customHeight="1" x14ac:dyDescent="0.2">
      <c r="A22" s="30" t="s">
        <v>34</v>
      </c>
      <c r="B22" s="31" t="s">
        <v>61</v>
      </c>
      <c r="C22" s="8"/>
      <c r="D22" s="32" t="s">
        <v>138</v>
      </c>
      <c r="E22" s="32" t="s">
        <v>240</v>
      </c>
      <c r="F22" s="40">
        <v>2</v>
      </c>
      <c r="G22" s="9">
        <v>323.7</v>
      </c>
      <c r="H22" s="10">
        <v>698</v>
      </c>
      <c r="I22" s="10">
        <f t="shared" si="1"/>
        <v>1396</v>
      </c>
      <c r="J22" s="11"/>
      <c r="K22" s="11">
        <v>0</v>
      </c>
      <c r="L22" s="74">
        <f t="shared" si="2"/>
        <v>1396</v>
      </c>
      <c r="M22" s="34">
        <f t="shared" si="0"/>
        <v>647.4</v>
      </c>
    </row>
    <row r="23" spans="1:13" ht="15" customHeight="1" x14ac:dyDescent="0.2">
      <c r="A23" s="30" t="s">
        <v>34</v>
      </c>
      <c r="B23" s="31" t="s">
        <v>62</v>
      </c>
      <c r="C23" s="8"/>
      <c r="D23" s="32"/>
      <c r="E23" s="32" t="s">
        <v>241</v>
      </c>
      <c r="F23" s="40">
        <v>1</v>
      </c>
      <c r="G23" s="9">
        <v>188</v>
      </c>
      <c r="H23" s="10">
        <v>188</v>
      </c>
      <c r="I23" s="10">
        <f t="shared" si="1"/>
        <v>188</v>
      </c>
      <c r="J23" s="11"/>
      <c r="K23" s="11">
        <v>0</v>
      </c>
      <c r="L23" s="74">
        <f t="shared" si="2"/>
        <v>188</v>
      </c>
      <c r="M23" s="34">
        <f t="shared" si="0"/>
        <v>188</v>
      </c>
    </row>
    <row r="24" spans="1:13" ht="15" customHeight="1" x14ac:dyDescent="0.2">
      <c r="A24" s="30" t="s">
        <v>34</v>
      </c>
      <c r="B24" s="31" t="s">
        <v>63</v>
      </c>
      <c r="C24" s="8"/>
      <c r="D24" s="32"/>
      <c r="E24" s="32" t="s">
        <v>242</v>
      </c>
      <c r="F24" s="40">
        <v>1</v>
      </c>
      <c r="G24" s="9">
        <v>5</v>
      </c>
      <c r="H24" s="10">
        <v>10</v>
      </c>
      <c r="I24" s="10">
        <f t="shared" si="1"/>
        <v>10</v>
      </c>
      <c r="J24" s="11"/>
      <c r="K24" s="11">
        <v>0</v>
      </c>
      <c r="L24" s="74">
        <f t="shared" si="2"/>
        <v>10</v>
      </c>
      <c r="M24" s="34">
        <f t="shared" si="0"/>
        <v>5</v>
      </c>
    </row>
    <row r="25" spans="1:13" ht="15" customHeight="1" x14ac:dyDescent="0.2">
      <c r="A25" s="30" t="s">
        <v>35</v>
      </c>
      <c r="B25" s="31" t="s">
        <v>53</v>
      </c>
      <c r="C25" s="8"/>
      <c r="D25" s="32" t="s">
        <v>139</v>
      </c>
      <c r="E25" s="32" t="s">
        <v>232</v>
      </c>
      <c r="F25" s="40">
        <v>1</v>
      </c>
      <c r="G25" s="9">
        <v>187.2</v>
      </c>
      <c r="H25" s="10">
        <v>288</v>
      </c>
      <c r="I25" s="10">
        <f t="shared" si="1"/>
        <v>288</v>
      </c>
      <c r="J25" s="11"/>
      <c r="K25" s="11">
        <v>0</v>
      </c>
      <c r="L25" s="74">
        <f t="shared" si="2"/>
        <v>288</v>
      </c>
      <c r="M25" s="34">
        <f t="shared" si="0"/>
        <v>187.2</v>
      </c>
    </row>
    <row r="26" spans="1:13" ht="15" customHeight="1" x14ac:dyDescent="0.2">
      <c r="A26" s="30" t="s">
        <v>35</v>
      </c>
      <c r="B26" s="31" t="s">
        <v>61</v>
      </c>
      <c r="C26" s="8"/>
      <c r="D26" s="32" t="s">
        <v>140</v>
      </c>
      <c r="E26" s="32" t="s">
        <v>240</v>
      </c>
      <c r="F26" s="40">
        <v>1</v>
      </c>
      <c r="G26" s="9">
        <v>323.7</v>
      </c>
      <c r="H26" s="10">
        <v>698</v>
      </c>
      <c r="I26" s="10">
        <f t="shared" si="1"/>
        <v>698</v>
      </c>
      <c r="J26" s="11"/>
      <c r="K26" s="11">
        <v>0</v>
      </c>
      <c r="L26" s="74">
        <f t="shared" si="2"/>
        <v>698</v>
      </c>
      <c r="M26" s="34">
        <f t="shared" si="0"/>
        <v>323.7</v>
      </c>
    </row>
    <row r="27" spans="1:13" ht="15" customHeight="1" x14ac:dyDescent="0.2">
      <c r="A27" s="30" t="s">
        <v>35</v>
      </c>
      <c r="B27" s="31" t="s">
        <v>64</v>
      </c>
      <c r="C27" s="8"/>
      <c r="D27" s="32" t="s">
        <v>141</v>
      </c>
      <c r="E27" s="32" t="s">
        <v>243</v>
      </c>
      <c r="F27" s="40">
        <v>1</v>
      </c>
      <c r="G27" s="9">
        <v>20</v>
      </c>
      <c r="H27" s="10">
        <v>48</v>
      </c>
      <c r="I27" s="10">
        <f t="shared" si="1"/>
        <v>48</v>
      </c>
      <c r="J27" s="11"/>
      <c r="K27" s="11">
        <v>0</v>
      </c>
      <c r="L27" s="74">
        <f t="shared" si="2"/>
        <v>48</v>
      </c>
      <c r="M27" s="34">
        <f t="shared" si="0"/>
        <v>20</v>
      </c>
    </row>
    <row r="28" spans="1:13" ht="15" customHeight="1" x14ac:dyDescent="0.2">
      <c r="A28" s="30" t="s">
        <v>35</v>
      </c>
      <c r="B28" s="31" t="s">
        <v>65</v>
      </c>
      <c r="C28" s="8"/>
      <c r="D28" s="32"/>
      <c r="E28" s="32" t="s">
        <v>244</v>
      </c>
      <c r="F28" s="40">
        <v>1</v>
      </c>
      <c r="G28" s="9">
        <v>65</v>
      </c>
      <c r="H28" s="10">
        <v>128</v>
      </c>
      <c r="I28" s="10">
        <f t="shared" si="1"/>
        <v>128</v>
      </c>
      <c r="J28" s="11"/>
      <c r="K28" s="11">
        <v>0</v>
      </c>
      <c r="L28" s="74">
        <f t="shared" si="2"/>
        <v>128</v>
      </c>
      <c r="M28" s="34">
        <f t="shared" si="0"/>
        <v>65</v>
      </c>
    </row>
    <row r="29" spans="1:13" ht="15" customHeight="1" x14ac:dyDescent="0.2">
      <c r="A29" s="30" t="s">
        <v>35</v>
      </c>
      <c r="B29" s="31" t="s">
        <v>66</v>
      </c>
      <c r="C29" s="8"/>
      <c r="D29" s="32"/>
      <c r="E29" s="32" t="s">
        <v>245</v>
      </c>
      <c r="F29" s="40">
        <v>1</v>
      </c>
      <c r="G29" s="9">
        <v>70</v>
      </c>
      <c r="H29" s="10">
        <v>98</v>
      </c>
      <c r="I29" s="10">
        <f t="shared" si="1"/>
        <v>98</v>
      </c>
      <c r="J29" s="11"/>
      <c r="K29" s="11">
        <v>0</v>
      </c>
      <c r="L29" s="74">
        <f t="shared" si="2"/>
        <v>98</v>
      </c>
      <c r="M29" s="34">
        <f t="shared" si="0"/>
        <v>70</v>
      </c>
    </row>
    <row r="30" spans="1:13" ht="15" customHeight="1" x14ac:dyDescent="0.2">
      <c r="A30" s="30" t="s">
        <v>35</v>
      </c>
      <c r="B30" s="31" t="s">
        <v>67</v>
      </c>
      <c r="C30" s="8"/>
      <c r="D30" s="32"/>
      <c r="E30" s="32" t="s">
        <v>246</v>
      </c>
      <c r="F30" s="40">
        <v>2</v>
      </c>
      <c r="G30" s="9">
        <v>58</v>
      </c>
      <c r="H30" s="10">
        <v>78</v>
      </c>
      <c r="I30" s="10">
        <f t="shared" si="1"/>
        <v>156</v>
      </c>
      <c r="J30" s="11"/>
      <c r="K30" s="11">
        <v>0</v>
      </c>
      <c r="L30" s="74">
        <f t="shared" si="2"/>
        <v>156</v>
      </c>
      <c r="M30" s="34">
        <f t="shared" si="0"/>
        <v>116</v>
      </c>
    </row>
    <row r="31" spans="1:13" ht="15" customHeight="1" x14ac:dyDescent="0.2">
      <c r="A31" s="30" t="s">
        <v>35</v>
      </c>
      <c r="B31" s="31" t="s">
        <v>63</v>
      </c>
      <c r="C31" s="8"/>
      <c r="D31" s="32"/>
      <c r="E31" s="32" t="s">
        <v>242</v>
      </c>
      <c r="F31" s="40">
        <v>2</v>
      </c>
      <c r="G31" s="9">
        <v>5</v>
      </c>
      <c r="H31" s="10">
        <v>10</v>
      </c>
      <c r="I31" s="10">
        <f t="shared" si="1"/>
        <v>20</v>
      </c>
      <c r="J31" s="11"/>
      <c r="K31" s="11">
        <v>0</v>
      </c>
      <c r="L31" s="74">
        <f t="shared" si="2"/>
        <v>20</v>
      </c>
      <c r="M31" s="34">
        <f t="shared" si="0"/>
        <v>10</v>
      </c>
    </row>
    <row r="32" spans="1:13" ht="15" customHeight="1" x14ac:dyDescent="0.2">
      <c r="A32" s="30" t="s">
        <v>35</v>
      </c>
      <c r="B32" s="31" t="s">
        <v>68</v>
      </c>
      <c r="C32" s="8"/>
      <c r="D32" s="32" t="s">
        <v>142</v>
      </c>
      <c r="E32" s="32" t="s">
        <v>247</v>
      </c>
      <c r="F32" s="40">
        <v>1</v>
      </c>
      <c r="G32" s="9">
        <v>83.2</v>
      </c>
      <c r="H32" s="10">
        <v>298</v>
      </c>
      <c r="I32" s="10">
        <f t="shared" si="1"/>
        <v>298</v>
      </c>
      <c r="J32" s="11"/>
      <c r="K32" s="11">
        <v>0</v>
      </c>
      <c r="L32" s="74">
        <f t="shared" si="2"/>
        <v>298</v>
      </c>
      <c r="M32" s="34">
        <f t="shared" si="0"/>
        <v>83.2</v>
      </c>
    </row>
    <row r="33" spans="1:13" ht="15" customHeight="1" x14ac:dyDescent="0.2">
      <c r="A33" s="30" t="s">
        <v>35</v>
      </c>
      <c r="B33" s="31" t="s">
        <v>69</v>
      </c>
      <c r="C33" s="8"/>
      <c r="D33" s="32" t="s">
        <v>143</v>
      </c>
      <c r="E33" s="32" t="s">
        <v>248</v>
      </c>
      <c r="F33" s="40">
        <v>10</v>
      </c>
      <c r="G33" s="9">
        <v>32.5</v>
      </c>
      <c r="H33" s="10">
        <v>60</v>
      </c>
      <c r="I33" s="10">
        <f t="shared" si="1"/>
        <v>600</v>
      </c>
      <c r="J33" s="11"/>
      <c r="K33" s="11">
        <v>0</v>
      </c>
      <c r="L33" s="74">
        <f t="shared" si="2"/>
        <v>600</v>
      </c>
      <c r="M33" s="34">
        <f t="shared" si="0"/>
        <v>325</v>
      </c>
    </row>
    <row r="34" spans="1:13" ht="15" customHeight="1" x14ac:dyDescent="0.2">
      <c r="A34" s="30" t="s">
        <v>35</v>
      </c>
      <c r="B34" s="31" t="s">
        <v>70</v>
      </c>
      <c r="C34" s="8"/>
      <c r="D34" s="32"/>
      <c r="E34" s="32" t="s">
        <v>249</v>
      </c>
      <c r="F34" s="40">
        <v>10</v>
      </c>
      <c r="G34" s="9">
        <v>40</v>
      </c>
      <c r="H34" s="10">
        <v>50</v>
      </c>
      <c r="I34" s="10">
        <f t="shared" si="1"/>
        <v>500</v>
      </c>
      <c r="J34" s="11"/>
      <c r="K34" s="11">
        <v>0</v>
      </c>
      <c r="L34" s="74">
        <f t="shared" si="2"/>
        <v>500</v>
      </c>
      <c r="M34" s="34">
        <f t="shared" si="0"/>
        <v>400</v>
      </c>
    </row>
    <row r="35" spans="1:13" ht="15" customHeight="1" x14ac:dyDescent="0.2">
      <c r="A35" s="30" t="s">
        <v>35</v>
      </c>
      <c r="B35" s="31" t="s">
        <v>48</v>
      </c>
      <c r="C35" s="8"/>
      <c r="D35" s="32"/>
      <c r="E35" s="32" t="s">
        <v>227</v>
      </c>
      <c r="F35" s="40">
        <v>8</v>
      </c>
      <c r="G35" s="9">
        <v>13</v>
      </c>
      <c r="H35" s="10">
        <v>20</v>
      </c>
      <c r="I35" s="10">
        <f t="shared" si="1"/>
        <v>160</v>
      </c>
      <c r="J35" s="11"/>
      <c r="K35" s="11">
        <v>10</v>
      </c>
      <c r="L35" s="74">
        <f t="shared" si="2"/>
        <v>150</v>
      </c>
      <c r="M35" s="34">
        <f t="shared" si="0"/>
        <v>104</v>
      </c>
    </row>
    <row r="36" spans="1:13" ht="15" customHeight="1" x14ac:dyDescent="0.2">
      <c r="A36" s="30" t="s">
        <v>35</v>
      </c>
      <c r="B36" s="31" t="s">
        <v>71</v>
      </c>
      <c r="C36" s="8"/>
      <c r="D36" s="32" t="s">
        <v>144</v>
      </c>
      <c r="E36" s="32" t="s">
        <v>250</v>
      </c>
      <c r="F36" s="40">
        <v>1</v>
      </c>
      <c r="G36" s="9">
        <v>258.7</v>
      </c>
      <c r="H36" s="10">
        <v>398</v>
      </c>
      <c r="I36" s="10">
        <f t="shared" si="1"/>
        <v>398</v>
      </c>
      <c r="J36" s="11"/>
      <c r="K36" s="11">
        <v>0</v>
      </c>
      <c r="L36" s="74">
        <f t="shared" si="2"/>
        <v>398</v>
      </c>
      <c r="M36" s="34">
        <f t="shared" si="0"/>
        <v>258.7</v>
      </c>
    </row>
    <row r="37" spans="1:13" ht="15" customHeight="1" x14ac:dyDescent="0.2">
      <c r="A37" s="30" t="s">
        <v>35</v>
      </c>
      <c r="B37" s="31" t="s">
        <v>72</v>
      </c>
      <c r="C37" s="8"/>
      <c r="D37" s="32"/>
      <c r="E37" s="32" t="s">
        <v>251</v>
      </c>
      <c r="F37" s="40">
        <v>1</v>
      </c>
      <c r="G37" s="9">
        <v>83.2</v>
      </c>
      <c r="H37" s="10">
        <v>128</v>
      </c>
      <c r="I37" s="10">
        <f t="shared" si="1"/>
        <v>128</v>
      </c>
      <c r="J37" s="11"/>
      <c r="K37" s="11">
        <v>0</v>
      </c>
      <c r="L37" s="74">
        <f t="shared" si="2"/>
        <v>128</v>
      </c>
      <c r="M37" s="34">
        <f t="shared" si="0"/>
        <v>83.2</v>
      </c>
    </row>
    <row r="38" spans="1:13" ht="15" customHeight="1" x14ac:dyDescent="0.2">
      <c r="A38" s="30" t="s">
        <v>35</v>
      </c>
      <c r="B38" s="31" t="s">
        <v>69</v>
      </c>
      <c r="C38" s="8"/>
      <c r="D38" s="32"/>
      <c r="E38" s="32" t="s">
        <v>248</v>
      </c>
      <c r="F38" s="40">
        <v>1</v>
      </c>
      <c r="G38" s="9">
        <v>32.5</v>
      </c>
      <c r="H38" s="10">
        <v>60</v>
      </c>
      <c r="I38" s="10">
        <f t="shared" si="1"/>
        <v>60</v>
      </c>
      <c r="J38" s="11"/>
      <c r="K38" s="11">
        <v>0</v>
      </c>
      <c r="L38" s="74">
        <f t="shared" si="2"/>
        <v>60</v>
      </c>
      <c r="M38" s="34">
        <f t="shared" si="0"/>
        <v>32.5</v>
      </c>
    </row>
    <row r="39" spans="1:13" ht="15" customHeight="1" x14ac:dyDescent="0.2">
      <c r="A39" s="30" t="s">
        <v>35</v>
      </c>
      <c r="B39" s="31" t="s">
        <v>69</v>
      </c>
      <c r="C39" s="8"/>
      <c r="D39" s="32" t="s">
        <v>145</v>
      </c>
      <c r="E39" s="32" t="s">
        <v>248</v>
      </c>
      <c r="F39" s="40">
        <v>1</v>
      </c>
      <c r="G39" s="9">
        <v>32.5</v>
      </c>
      <c r="H39" s="10">
        <v>60</v>
      </c>
      <c r="I39" s="10">
        <f t="shared" si="1"/>
        <v>60</v>
      </c>
      <c r="J39" s="11"/>
      <c r="K39" s="11">
        <v>0</v>
      </c>
      <c r="L39" s="74">
        <f t="shared" si="2"/>
        <v>60</v>
      </c>
      <c r="M39" s="34">
        <f t="shared" si="0"/>
        <v>32.5</v>
      </c>
    </row>
    <row r="40" spans="1:13" ht="15" customHeight="1" x14ac:dyDescent="0.2">
      <c r="A40" s="30" t="s">
        <v>35</v>
      </c>
      <c r="B40" s="31" t="s">
        <v>73</v>
      </c>
      <c r="C40" s="8"/>
      <c r="D40" s="32"/>
      <c r="E40" s="32" t="s">
        <v>252</v>
      </c>
      <c r="F40" s="40">
        <v>2</v>
      </c>
      <c r="G40" s="9">
        <v>6.5</v>
      </c>
      <c r="H40" s="10">
        <v>10</v>
      </c>
      <c r="I40" s="10">
        <f t="shared" si="1"/>
        <v>20</v>
      </c>
      <c r="J40" s="11"/>
      <c r="K40" s="11">
        <v>0</v>
      </c>
      <c r="L40" s="74">
        <f t="shared" si="2"/>
        <v>20</v>
      </c>
      <c r="M40" s="34">
        <f t="shared" si="0"/>
        <v>13</v>
      </c>
    </row>
    <row r="41" spans="1:13" ht="15" customHeight="1" x14ac:dyDescent="0.2">
      <c r="A41" s="30" t="s">
        <v>36</v>
      </c>
      <c r="B41" s="31" t="s">
        <v>74</v>
      </c>
      <c r="C41" s="8"/>
      <c r="D41" s="32" t="s">
        <v>146</v>
      </c>
      <c r="E41" s="32" t="s">
        <v>253</v>
      </c>
      <c r="F41" s="40">
        <v>1</v>
      </c>
      <c r="G41" s="9">
        <v>50</v>
      </c>
      <c r="H41" s="10">
        <v>68</v>
      </c>
      <c r="I41" s="10">
        <f t="shared" si="1"/>
        <v>68</v>
      </c>
      <c r="J41" s="11"/>
      <c r="K41" s="11">
        <v>18</v>
      </c>
      <c r="L41" s="74">
        <f t="shared" si="2"/>
        <v>50</v>
      </c>
      <c r="M41" s="34">
        <f t="shared" si="0"/>
        <v>50</v>
      </c>
    </row>
    <row r="42" spans="1:13" ht="15" customHeight="1" x14ac:dyDescent="0.2">
      <c r="A42" s="30" t="s">
        <v>36</v>
      </c>
      <c r="B42" s="31" t="s">
        <v>74</v>
      </c>
      <c r="C42" s="8"/>
      <c r="D42" s="32" t="s">
        <v>147</v>
      </c>
      <c r="E42" s="32" t="s">
        <v>253</v>
      </c>
      <c r="F42" s="40">
        <v>1</v>
      </c>
      <c r="G42" s="9">
        <v>50</v>
      </c>
      <c r="H42" s="10">
        <v>68</v>
      </c>
      <c r="I42" s="10">
        <f t="shared" si="1"/>
        <v>68</v>
      </c>
      <c r="J42" s="11"/>
      <c r="K42" s="11">
        <v>18</v>
      </c>
      <c r="L42" s="74">
        <f t="shared" si="2"/>
        <v>50</v>
      </c>
      <c r="M42" s="34">
        <f t="shared" si="0"/>
        <v>50</v>
      </c>
    </row>
    <row r="43" spans="1:13" ht="15" customHeight="1" x14ac:dyDescent="0.2">
      <c r="A43" s="30" t="s">
        <v>36</v>
      </c>
      <c r="B43" s="31" t="s">
        <v>75</v>
      </c>
      <c r="C43" s="8"/>
      <c r="D43" s="32" t="s">
        <v>148</v>
      </c>
      <c r="E43" s="32" t="s">
        <v>254</v>
      </c>
      <c r="F43" s="40">
        <v>1</v>
      </c>
      <c r="G43" s="9">
        <v>188</v>
      </c>
      <c r="H43" s="10">
        <v>228</v>
      </c>
      <c r="I43" s="10">
        <f t="shared" si="1"/>
        <v>228</v>
      </c>
      <c r="J43" s="11"/>
      <c r="K43" s="11">
        <v>0</v>
      </c>
      <c r="L43" s="74">
        <f t="shared" si="2"/>
        <v>228</v>
      </c>
      <c r="M43" s="34">
        <f t="shared" si="0"/>
        <v>188</v>
      </c>
    </row>
    <row r="44" spans="1:13" ht="15" customHeight="1" x14ac:dyDescent="0.2">
      <c r="A44" s="30" t="s">
        <v>36</v>
      </c>
      <c r="B44" s="31" t="s">
        <v>74</v>
      </c>
      <c r="C44" s="8"/>
      <c r="D44" s="32"/>
      <c r="E44" s="32" t="s">
        <v>253</v>
      </c>
      <c r="F44" s="40">
        <v>1</v>
      </c>
      <c r="G44" s="9">
        <v>50</v>
      </c>
      <c r="H44" s="10">
        <v>68</v>
      </c>
      <c r="I44" s="10">
        <f t="shared" si="1"/>
        <v>68</v>
      </c>
      <c r="J44" s="11"/>
      <c r="K44" s="11">
        <v>18</v>
      </c>
      <c r="L44" s="74">
        <f t="shared" si="2"/>
        <v>50</v>
      </c>
      <c r="M44" s="34">
        <f t="shared" si="0"/>
        <v>50</v>
      </c>
    </row>
    <row r="45" spans="1:13" ht="15" customHeight="1" x14ac:dyDescent="0.2">
      <c r="A45" s="30" t="s">
        <v>36</v>
      </c>
      <c r="B45" s="31" t="s">
        <v>50</v>
      </c>
      <c r="C45" s="8"/>
      <c r="D45" s="32" t="s">
        <v>149</v>
      </c>
      <c r="E45" s="32" t="s">
        <v>229</v>
      </c>
      <c r="F45" s="40">
        <v>1</v>
      </c>
      <c r="G45" s="9">
        <v>44.2</v>
      </c>
      <c r="H45" s="10">
        <v>78</v>
      </c>
      <c r="I45" s="10">
        <f t="shared" si="1"/>
        <v>78</v>
      </c>
      <c r="J45" s="11"/>
      <c r="K45" s="11">
        <v>0</v>
      </c>
      <c r="L45" s="74">
        <f t="shared" si="2"/>
        <v>78</v>
      </c>
      <c r="M45" s="34">
        <f t="shared" si="0"/>
        <v>44.2</v>
      </c>
    </row>
    <row r="46" spans="1:13" ht="15" customHeight="1" x14ac:dyDescent="0.2">
      <c r="A46" s="30" t="s">
        <v>36</v>
      </c>
      <c r="B46" s="31" t="s">
        <v>52</v>
      </c>
      <c r="C46" s="8"/>
      <c r="D46" s="32" t="s">
        <v>150</v>
      </c>
      <c r="E46" s="32" t="s">
        <v>231</v>
      </c>
      <c r="F46" s="40">
        <v>1</v>
      </c>
      <c r="G46" s="9">
        <v>158</v>
      </c>
      <c r="H46" s="10">
        <v>228</v>
      </c>
      <c r="I46" s="10">
        <f t="shared" si="1"/>
        <v>228</v>
      </c>
      <c r="J46" s="11"/>
      <c r="K46" s="11">
        <v>0</v>
      </c>
      <c r="L46" s="74">
        <f t="shared" si="2"/>
        <v>228</v>
      </c>
      <c r="M46" s="34">
        <f t="shared" si="0"/>
        <v>158</v>
      </c>
    </row>
    <row r="47" spans="1:13" ht="15" customHeight="1" x14ac:dyDescent="0.2">
      <c r="A47" s="30" t="s">
        <v>36</v>
      </c>
      <c r="B47" s="31" t="s">
        <v>76</v>
      </c>
      <c r="C47" s="8"/>
      <c r="D47" s="32"/>
      <c r="E47" s="32" t="s">
        <v>255</v>
      </c>
      <c r="F47" s="40">
        <v>1</v>
      </c>
      <c r="G47" s="9">
        <v>50.7</v>
      </c>
      <c r="H47" s="10">
        <v>78</v>
      </c>
      <c r="I47" s="10">
        <f t="shared" si="1"/>
        <v>78</v>
      </c>
      <c r="J47" s="11"/>
      <c r="K47" s="11">
        <v>0</v>
      </c>
      <c r="L47" s="74">
        <f t="shared" si="2"/>
        <v>78</v>
      </c>
      <c r="M47" s="34">
        <f t="shared" si="0"/>
        <v>50.7</v>
      </c>
    </row>
    <row r="48" spans="1:13" ht="15" customHeight="1" x14ac:dyDescent="0.2">
      <c r="A48" s="30" t="s">
        <v>36</v>
      </c>
      <c r="B48" s="31" t="s">
        <v>77</v>
      </c>
      <c r="C48" s="8"/>
      <c r="D48" s="32"/>
      <c r="E48" s="32" t="s">
        <v>256</v>
      </c>
      <c r="F48" s="40">
        <v>1</v>
      </c>
      <c r="G48" s="9">
        <v>102.7</v>
      </c>
      <c r="H48" s="10">
        <v>248</v>
      </c>
      <c r="I48" s="10">
        <f t="shared" si="1"/>
        <v>248</v>
      </c>
      <c r="J48" s="11"/>
      <c r="K48" s="11">
        <v>0</v>
      </c>
      <c r="L48" s="74">
        <f t="shared" si="2"/>
        <v>248</v>
      </c>
      <c r="M48" s="34">
        <f t="shared" si="0"/>
        <v>102.7</v>
      </c>
    </row>
    <row r="49" spans="1:13" ht="15" customHeight="1" x14ac:dyDescent="0.2">
      <c r="A49" s="30" t="s">
        <v>36</v>
      </c>
      <c r="B49" s="31" t="s">
        <v>50</v>
      </c>
      <c r="C49" s="8"/>
      <c r="D49" s="32"/>
      <c r="E49" s="32" t="s">
        <v>229</v>
      </c>
      <c r="F49" s="40">
        <v>1</v>
      </c>
      <c r="G49" s="9">
        <v>44.2</v>
      </c>
      <c r="H49" s="10">
        <v>78</v>
      </c>
      <c r="I49" s="10">
        <f t="shared" si="1"/>
        <v>78</v>
      </c>
      <c r="J49" s="11"/>
      <c r="K49" s="11">
        <v>0</v>
      </c>
      <c r="L49" s="74">
        <f t="shared" si="2"/>
        <v>78</v>
      </c>
      <c r="M49" s="34">
        <f t="shared" si="0"/>
        <v>44.2</v>
      </c>
    </row>
    <row r="50" spans="1:13" ht="15" customHeight="1" x14ac:dyDescent="0.2">
      <c r="A50" s="30" t="s">
        <v>36</v>
      </c>
      <c r="B50" s="31" t="s">
        <v>63</v>
      </c>
      <c r="C50" s="8"/>
      <c r="D50" s="32"/>
      <c r="E50" s="32" t="s">
        <v>242</v>
      </c>
      <c r="F50" s="40">
        <v>3</v>
      </c>
      <c r="G50" s="9">
        <v>5</v>
      </c>
      <c r="H50" s="10">
        <v>10</v>
      </c>
      <c r="I50" s="10">
        <f t="shared" si="1"/>
        <v>30</v>
      </c>
      <c r="J50" s="11"/>
      <c r="K50" s="11">
        <v>0</v>
      </c>
      <c r="L50" s="74">
        <f t="shared" si="2"/>
        <v>30</v>
      </c>
      <c r="M50" s="34">
        <f t="shared" si="0"/>
        <v>15</v>
      </c>
    </row>
    <row r="51" spans="1:13" ht="15" customHeight="1" x14ac:dyDescent="0.2">
      <c r="A51" s="30" t="s">
        <v>36</v>
      </c>
      <c r="B51" s="31" t="s">
        <v>78</v>
      </c>
      <c r="C51" s="8"/>
      <c r="D51" s="32"/>
      <c r="E51" s="32" t="s">
        <v>257</v>
      </c>
      <c r="F51" s="40">
        <v>1</v>
      </c>
      <c r="G51" s="9">
        <v>67.5</v>
      </c>
      <c r="H51" s="10">
        <v>88</v>
      </c>
      <c r="I51" s="10">
        <f t="shared" si="1"/>
        <v>88</v>
      </c>
      <c r="J51" s="11"/>
      <c r="K51" s="11">
        <v>0</v>
      </c>
      <c r="L51" s="74">
        <f t="shared" si="2"/>
        <v>88</v>
      </c>
      <c r="M51" s="34">
        <f t="shared" si="0"/>
        <v>67.5</v>
      </c>
    </row>
    <row r="52" spans="1:13" ht="15" customHeight="1" x14ac:dyDescent="0.2">
      <c r="A52" s="30" t="s">
        <v>37</v>
      </c>
      <c r="B52" s="31" t="s">
        <v>79</v>
      </c>
      <c r="C52" s="8"/>
      <c r="D52" s="32" t="s">
        <v>151</v>
      </c>
      <c r="E52" s="32" t="s">
        <v>258</v>
      </c>
      <c r="F52" s="40">
        <v>2</v>
      </c>
      <c r="G52" s="9">
        <v>122.2</v>
      </c>
      <c r="H52" s="10">
        <v>228</v>
      </c>
      <c r="I52" s="10">
        <f t="shared" si="1"/>
        <v>456</v>
      </c>
      <c r="J52" s="11"/>
      <c r="K52" s="11">
        <v>0</v>
      </c>
      <c r="L52" s="74">
        <f t="shared" si="2"/>
        <v>456</v>
      </c>
      <c r="M52" s="34">
        <f t="shared" si="0"/>
        <v>244.4</v>
      </c>
    </row>
    <row r="53" spans="1:13" ht="15" customHeight="1" x14ac:dyDescent="0.2">
      <c r="A53" s="30" t="s">
        <v>37</v>
      </c>
      <c r="B53" s="31" t="s">
        <v>69</v>
      </c>
      <c r="C53" s="8"/>
      <c r="D53" s="32"/>
      <c r="E53" s="32" t="s">
        <v>248</v>
      </c>
      <c r="F53" s="40">
        <v>2</v>
      </c>
      <c r="G53" s="9">
        <v>32.5</v>
      </c>
      <c r="H53" s="10">
        <v>60</v>
      </c>
      <c r="I53" s="10">
        <f t="shared" si="1"/>
        <v>120</v>
      </c>
      <c r="J53" s="11"/>
      <c r="K53" s="11">
        <v>0</v>
      </c>
      <c r="L53" s="74">
        <f t="shared" si="2"/>
        <v>120</v>
      </c>
      <c r="M53" s="34">
        <f t="shared" si="0"/>
        <v>65</v>
      </c>
    </row>
    <row r="54" spans="1:13" ht="15" customHeight="1" x14ac:dyDescent="0.2">
      <c r="A54" s="30" t="s">
        <v>37</v>
      </c>
      <c r="B54" s="31" t="s">
        <v>48</v>
      </c>
      <c r="C54" s="8"/>
      <c r="D54" s="32"/>
      <c r="E54" s="32" t="s">
        <v>227</v>
      </c>
      <c r="F54" s="40">
        <v>1</v>
      </c>
      <c r="G54" s="9">
        <v>13</v>
      </c>
      <c r="H54" s="10">
        <v>20</v>
      </c>
      <c r="I54" s="10">
        <f t="shared" si="1"/>
        <v>20</v>
      </c>
      <c r="J54" s="11"/>
      <c r="K54" s="11">
        <v>0</v>
      </c>
      <c r="L54" s="74">
        <f t="shared" si="2"/>
        <v>20</v>
      </c>
      <c r="M54" s="34">
        <f t="shared" si="0"/>
        <v>13</v>
      </c>
    </row>
    <row r="55" spans="1:13" ht="15" customHeight="1" x14ac:dyDescent="0.2">
      <c r="A55" s="30" t="s">
        <v>37</v>
      </c>
      <c r="B55" s="31" t="s">
        <v>80</v>
      </c>
      <c r="C55" s="8"/>
      <c r="D55" s="32" t="s">
        <v>152</v>
      </c>
      <c r="E55" s="32" t="s">
        <v>259</v>
      </c>
      <c r="F55" s="40">
        <v>1</v>
      </c>
      <c r="G55" s="9">
        <v>83.2</v>
      </c>
      <c r="H55" s="10">
        <v>128</v>
      </c>
      <c r="I55" s="10">
        <f t="shared" si="1"/>
        <v>128</v>
      </c>
      <c r="J55" s="11"/>
      <c r="K55" s="11">
        <v>0</v>
      </c>
      <c r="L55" s="74">
        <f t="shared" si="2"/>
        <v>128</v>
      </c>
      <c r="M55" s="34">
        <f t="shared" si="0"/>
        <v>83.2</v>
      </c>
    </row>
    <row r="56" spans="1:13" ht="15" customHeight="1" x14ac:dyDescent="0.2">
      <c r="A56" s="30" t="s">
        <v>37</v>
      </c>
      <c r="B56" s="31" t="s">
        <v>69</v>
      </c>
      <c r="C56" s="8"/>
      <c r="D56" s="32"/>
      <c r="E56" s="32" t="s">
        <v>248</v>
      </c>
      <c r="F56" s="40">
        <v>3</v>
      </c>
      <c r="G56" s="9">
        <v>32.5</v>
      </c>
      <c r="H56" s="10">
        <v>60</v>
      </c>
      <c r="I56" s="10">
        <f t="shared" si="1"/>
        <v>180</v>
      </c>
      <c r="J56" s="11"/>
      <c r="K56" s="11">
        <v>0</v>
      </c>
      <c r="L56" s="74">
        <f t="shared" si="2"/>
        <v>180</v>
      </c>
      <c r="M56" s="34">
        <f t="shared" si="0"/>
        <v>97.5</v>
      </c>
    </row>
    <row r="57" spans="1:13" ht="15" customHeight="1" x14ac:dyDescent="0.2">
      <c r="A57" s="30" t="s">
        <v>37</v>
      </c>
      <c r="B57" s="31" t="s">
        <v>73</v>
      </c>
      <c r="C57" s="8"/>
      <c r="D57" s="32"/>
      <c r="E57" s="32" t="s">
        <v>252</v>
      </c>
      <c r="F57" s="40">
        <v>2</v>
      </c>
      <c r="G57" s="9">
        <v>6.5</v>
      </c>
      <c r="H57" s="10">
        <v>10</v>
      </c>
      <c r="I57" s="10">
        <f t="shared" si="1"/>
        <v>20</v>
      </c>
      <c r="J57" s="11"/>
      <c r="K57" s="11">
        <v>0</v>
      </c>
      <c r="L57" s="74">
        <f t="shared" si="2"/>
        <v>20</v>
      </c>
      <c r="M57" s="34">
        <f t="shared" si="0"/>
        <v>13</v>
      </c>
    </row>
    <row r="58" spans="1:13" ht="15" customHeight="1" x14ac:dyDescent="0.2">
      <c r="A58" s="30" t="s">
        <v>37</v>
      </c>
      <c r="B58" s="31" t="s">
        <v>81</v>
      </c>
      <c r="C58" s="8"/>
      <c r="D58" s="32" t="s">
        <v>153</v>
      </c>
      <c r="E58" s="32" t="s">
        <v>260</v>
      </c>
      <c r="F58" s="40">
        <v>1</v>
      </c>
      <c r="G58" s="9">
        <v>115.7</v>
      </c>
      <c r="H58" s="10">
        <v>298</v>
      </c>
      <c r="I58" s="10">
        <f t="shared" si="1"/>
        <v>298</v>
      </c>
      <c r="J58" s="11"/>
      <c r="K58" s="11">
        <v>0</v>
      </c>
      <c r="L58" s="74">
        <f t="shared" si="2"/>
        <v>298</v>
      </c>
      <c r="M58" s="34">
        <f t="shared" si="0"/>
        <v>115.7</v>
      </c>
    </row>
    <row r="59" spans="1:13" ht="15" customHeight="1" x14ac:dyDescent="0.2">
      <c r="A59" s="30" t="s">
        <v>37</v>
      </c>
      <c r="B59" s="31" t="s">
        <v>47</v>
      </c>
      <c r="C59" s="8"/>
      <c r="D59" s="32"/>
      <c r="E59" s="32" t="s">
        <v>226</v>
      </c>
      <c r="F59" s="40">
        <v>1</v>
      </c>
      <c r="G59" s="9">
        <v>115.7</v>
      </c>
      <c r="H59" s="10">
        <v>188</v>
      </c>
      <c r="I59" s="10">
        <f t="shared" si="1"/>
        <v>188</v>
      </c>
      <c r="J59" s="11"/>
      <c r="K59" s="11">
        <v>0</v>
      </c>
      <c r="L59" s="74">
        <f t="shared" si="2"/>
        <v>188</v>
      </c>
      <c r="M59" s="34">
        <f t="shared" si="0"/>
        <v>115.7</v>
      </c>
    </row>
    <row r="60" spans="1:13" ht="15" customHeight="1" x14ac:dyDescent="0.2">
      <c r="A60" s="30" t="s">
        <v>37</v>
      </c>
      <c r="B60" s="31" t="s">
        <v>54</v>
      </c>
      <c r="C60" s="8"/>
      <c r="D60" s="32"/>
      <c r="E60" s="32" t="s">
        <v>233</v>
      </c>
      <c r="F60" s="40">
        <v>1</v>
      </c>
      <c r="G60" s="9">
        <v>115.7</v>
      </c>
      <c r="H60" s="10">
        <v>188</v>
      </c>
      <c r="I60" s="10">
        <f t="shared" si="1"/>
        <v>188</v>
      </c>
      <c r="J60" s="11"/>
      <c r="K60" s="11">
        <v>0</v>
      </c>
      <c r="L60" s="74">
        <f t="shared" si="2"/>
        <v>188</v>
      </c>
      <c r="M60" s="34">
        <f t="shared" si="0"/>
        <v>115.7</v>
      </c>
    </row>
    <row r="61" spans="1:13" ht="15" customHeight="1" x14ac:dyDescent="0.2">
      <c r="A61" s="30" t="s">
        <v>37</v>
      </c>
      <c r="B61" s="31" t="s">
        <v>63</v>
      </c>
      <c r="C61" s="8"/>
      <c r="D61" s="32"/>
      <c r="E61" s="32" t="s">
        <v>242</v>
      </c>
      <c r="F61" s="40">
        <v>2</v>
      </c>
      <c r="G61" s="9">
        <v>5</v>
      </c>
      <c r="H61" s="10">
        <v>10</v>
      </c>
      <c r="I61" s="10">
        <f t="shared" si="1"/>
        <v>20</v>
      </c>
      <c r="J61" s="11"/>
      <c r="K61" s="11">
        <v>0</v>
      </c>
      <c r="L61" s="74">
        <f t="shared" si="2"/>
        <v>20</v>
      </c>
      <c r="M61" s="34">
        <f t="shared" si="0"/>
        <v>10</v>
      </c>
    </row>
    <row r="62" spans="1:13" ht="15" customHeight="1" x14ac:dyDescent="0.2">
      <c r="A62" s="30" t="s">
        <v>37</v>
      </c>
      <c r="B62" s="31" t="s">
        <v>82</v>
      </c>
      <c r="C62" s="8"/>
      <c r="D62" s="32" t="s">
        <v>154</v>
      </c>
      <c r="E62" s="32" t="s">
        <v>261</v>
      </c>
      <c r="F62" s="40">
        <v>1</v>
      </c>
      <c r="G62" s="9">
        <v>158</v>
      </c>
      <c r="H62" s="10">
        <v>258</v>
      </c>
      <c r="I62" s="10">
        <f t="shared" si="1"/>
        <v>258</v>
      </c>
      <c r="J62" s="11"/>
      <c r="K62" s="11">
        <v>0</v>
      </c>
      <c r="L62" s="74">
        <f t="shared" si="2"/>
        <v>258</v>
      </c>
      <c r="M62" s="34">
        <f t="shared" si="0"/>
        <v>158</v>
      </c>
    </row>
    <row r="63" spans="1:13" ht="15" customHeight="1" x14ac:dyDescent="0.2">
      <c r="A63" s="30" t="s">
        <v>37</v>
      </c>
      <c r="B63" s="31" t="s">
        <v>54</v>
      </c>
      <c r="C63" s="8"/>
      <c r="D63" s="32" t="s">
        <v>155</v>
      </c>
      <c r="E63" s="32" t="s">
        <v>233</v>
      </c>
      <c r="F63" s="40">
        <v>1</v>
      </c>
      <c r="G63" s="9">
        <v>115.7</v>
      </c>
      <c r="H63" s="10">
        <v>188</v>
      </c>
      <c r="I63" s="10">
        <f t="shared" si="1"/>
        <v>188</v>
      </c>
      <c r="J63" s="11"/>
      <c r="K63" s="11">
        <v>0</v>
      </c>
      <c r="L63" s="74">
        <f t="shared" si="2"/>
        <v>188</v>
      </c>
      <c r="M63" s="34">
        <f t="shared" si="0"/>
        <v>115.7</v>
      </c>
    </row>
    <row r="64" spans="1:13" ht="15" customHeight="1" x14ac:dyDescent="0.2">
      <c r="A64" s="30" t="s">
        <v>37</v>
      </c>
      <c r="B64" s="31" t="s">
        <v>77</v>
      </c>
      <c r="C64" s="8"/>
      <c r="D64" s="32"/>
      <c r="E64" s="32" t="s">
        <v>256</v>
      </c>
      <c r="F64" s="40">
        <v>1</v>
      </c>
      <c r="G64" s="9">
        <v>102.7</v>
      </c>
      <c r="H64" s="10">
        <v>248</v>
      </c>
      <c r="I64" s="10">
        <f t="shared" si="1"/>
        <v>248</v>
      </c>
      <c r="J64" s="11"/>
      <c r="K64" s="11">
        <v>0</v>
      </c>
      <c r="L64" s="74">
        <f t="shared" si="2"/>
        <v>248</v>
      </c>
      <c r="M64" s="34">
        <f t="shared" si="0"/>
        <v>102.7</v>
      </c>
    </row>
    <row r="65" spans="1:13" ht="15" customHeight="1" x14ac:dyDescent="0.2">
      <c r="A65" s="30" t="s">
        <v>37</v>
      </c>
      <c r="B65" s="31" t="s">
        <v>63</v>
      </c>
      <c r="C65" s="8"/>
      <c r="D65" s="32"/>
      <c r="E65" s="32" t="s">
        <v>242</v>
      </c>
      <c r="F65" s="40">
        <v>1</v>
      </c>
      <c r="G65" s="9">
        <v>5</v>
      </c>
      <c r="H65" s="10">
        <v>10</v>
      </c>
      <c r="I65" s="10">
        <f t="shared" si="1"/>
        <v>10</v>
      </c>
      <c r="J65" s="11"/>
      <c r="K65" s="11">
        <v>0</v>
      </c>
      <c r="L65" s="74">
        <f t="shared" si="2"/>
        <v>10</v>
      </c>
      <c r="M65" s="34">
        <f t="shared" si="0"/>
        <v>5</v>
      </c>
    </row>
    <row r="66" spans="1:13" ht="15" customHeight="1" x14ac:dyDescent="0.2">
      <c r="A66" s="30" t="s">
        <v>37</v>
      </c>
      <c r="B66" s="31" t="s">
        <v>55</v>
      </c>
      <c r="C66" s="8"/>
      <c r="D66" s="32" t="s">
        <v>156</v>
      </c>
      <c r="E66" s="32" t="s">
        <v>234</v>
      </c>
      <c r="F66" s="40">
        <v>1</v>
      </c>
      <c r="G66" s="9">
        <v>63.7</v>
      </c>
      <c r="H66" s="10">
        <v>228</v>
      </c>
      <c r="I66" s="10">
        <f t="shared" si="1"/>
        <v>228</v>
      </c>
      <c r="J66" s="11"/>
      <c r="K66" s="11">
        <v>0</v>
      </c>
      <c r="L66" s="74">
        <f t="shared" si="2"/>
        <v>228</v>
      </c>
      <c r="M66" s="34">
        <f t="shared" si="0"/>
        <v>63.7</v>
      </c>
    </row>
    <row r="67" spans="1:13" ht="15" customHeight="1" x14ac:dyDescent="0.2">
      <c r="A67" s="30" t="s">
        <v>37</v>
      </c>
      <c r="B67" s="31" t="s">
        <v>77</v>
      </c>
      <c r="C67" s="8"/>
      <c r="D67" s="32"/>
      <c r="E67" s="32" t="s">
        <v>256</v>
      </c>
      <c r="F67" s="40">
        <v>1</v>
      </c>
      <c r="G67" s="9">
        <v>102.7</v>
      </c>
      <c r="H67" s="10">
        <v>248</v>
      </c>
      <c r="I67" s="10">
        <f t="shared" si="1"/>
        <v>248</v>
      </c>
      <c r="J67" s="11"/>
      <c r="K67" s="11">
        <v>28</v>
      </c>
      <c r="L67" s="74">
        <f t="shared" si="2"/>
        <v>220</v>
      </c>
      <c r="M67" s="34">
        <f t="shared" si="0"/>
        <v>102.7</v>
      </c>
    </row>
    <row r="68" spans="1:13" ht="15" customHeight="1" x14ac:dyDescent="0.2">
      <c r="A68" s="30" t="s">
        <v>37</v>
      </c>
      <c r="B68" s="31" t="s">
        <v>83</v>
      </c>
      <c r="C68" s="8"/>
      <c r="D68" s="32"/>
      <c r="E68" s="32" t="s">
        <v>262</v>
      </c>
      <c r="F68" s="40">
        <v>1</v>
      </c>
      <c r="G68" s="9">
        <v>96.2</v>
      </c>
      <c r="H68" s="10">
        <v>248</v>
      </c>
      <c r="I68" s="10">
        <f t="shared" si="1"/>
        <v>248</v>
      </c>
      <c r="J68" s="11"/>
      <c r="K68" s="11">
        <v>0</v>
      </c>
      <c r="L68" s="74">
        <f t="shared" si="2"/>
        <v>248</v>
      </c>
      <c r="M68" s="34">
        <f t="shared" si="0"/>
        <v>96.2</v>
      </c>
    </row>
    <row r="69" spans="1:13" ht="15" customHeight="1" x14ac:dyDescent="0.2">
      <c r="A69" s="30" t="s">
        <v>37</v>
      </c>
      <c r="B69" s="31" t="s">
        <v>84</v>
      </c>
      <c r="C69" s="8"/>
      <c r="D69" s="32"/>
      <c r="E69" s="32" t="s">
        <v>263</v>
      </c>
      <c r="F69" s="40">
        <v>1</v>
      </c>
      <c r="G69" s="9">
        <v>58</v>
      </c>
      <c r="H69" s="10">
        <v>78</v>
      </c>
      <c r="I69" s="10">
        <f t="shared" si="1"/>
        <v>78</v>
      </c>
      <c r="J69" s="11"/>
      <c r="K69" s="11">
        <v>0</v>
      </c>
      <c r="L69" s="74">
        <f t="shared" si="2"/>
        <v>78</v>
      </c>
      <c r="M69" s="34">
        <f t="shared" si="0"/>
        <v>58</v>
      </c>
    </row>
    <row r="70" spans="1:13" ht="15" customHeight="1" x14ac:dyDescent="0.2">
      <c r="A70" s="30" t="s">
        <v>37</v>
      </c>
      <c r="B70" s="31" t="s">
        <v>48</v>
      </c>
      <c r="C70" s="8"/>
      <c r="D70" s="32"/>
      <c r="E70" s="32" t="s">
        <v>227</v>
      </c>
      <c r="F70" s="40">
        <v>4</v>
      </c>
      <c r="G70" s="9">
        <v>13</v>
      </c>
      <c r="H70" s="10">
        <v>20</v>
      </c>
      <c r="I70" s="10">
        <f t="shared" si="1"/>
        <v>80</v>
      </c>
      <c r="J70" s="11"/>
      <c r="K70" s="11">
        <v>0</v>
      </c>
      <c r="L70" s="74">
        <f t="shared" si="2"/>
        <v>80</v>
      </c>
      <c r="M70" s="34">
        <f t="shared" si="0"/>
        <v>52</v>
      </c>
    </row>
    <row r="71" spans="1:13" ht="15" customHeight="1" x14ac:dyDescent="0.2">
      <c r="A71" s="30" t="s">
        <v>37</v>
      </c>
      <c r="B71" s="31" t="s">
        <v>63</v>
      </c>
      <c r="C71" s="8"/>
      <c r="D71" s="32"/>
      <c r="E71" s="32" t="s">
        <v>242</v>
      </c>
      <c r="F71" s="40">
        <v>1</v>
      </c>
      <c r="G71" s="9">
        <v>5</v>
      </c>
      <c r="H71" s="10">
        <v>10</v>
      </c>
      <c r="I71" s="10">
        <f t="shared" ref="I71:I134" si="3">F71*H71</f>
        <v>10</v>
      </c>
      <c r="J71" s="11"/>
      <c r="K71" s="11">
        <v>0</v>
      </c>
      <c r="L71" s="74">
        <f t="shared" ref="L71:L134" si="4">I71-K71</f>
        <v>10</v>
      </c>
      <c r="M71" s="34">
        <f t="shared" si="0"/>
        <v>5</v>
      </c>
    </row>
    <row r="72" spans="1:13" ht="15" customHeight="1" x14ac:dyDescent="0.2">
      <c r="A72" s="30" t="s">
        <v>37</v>
      </c>
      <c r="B72" s="31" t="s">
        <v>77</v>
      </c>
      <c r="C72" s="8"/>
      <c r="D72" s="32" t="s">
        <v>157</v>
      </c>
      <c r="E72" s="32" t="s">
        <v>256</v>
      </c>
      <c r="F72" s="40">
        <v>2</v>
      </c>
      <c r="G72" s="9">
        <v>102.7</v>
      </c>
      <c r="H72" s="10">
        <v>248</v>
      </c>
      <c r="I72" s="10">
        <f t="shared" si="3"/>
        <v>496</v>
      </c>
      <c r="J72" s="11"/>
      <c r="K72" s="11">
        <v>0</v>
      </c>
      <c r="L72" s="74">
        <f t="shared" si="4"/>
        <v>496</v>
      </c>
      <c r="M72" s="34">
        <f t="shared" si="0"/>
        <v>205.4</v>
      </c>
    </row>
    <row r="73" spans="1:13" ht="15" customHeight="1" x14ac:dyDescent="0.2">
      <c r="A73" s="30" t="s">
        <v>37</v>
      </c>
      <c r="B73" s="31" t="s">
        <v>55</v>
      </c>
      <c r="C73" s="8"/>
      <c r="D73" s="32"/>
      <c r="E73" s="32" t="s">
        <v>234</v>
      </c>
      <c r="F73" s="40">
        <v>2</v>
      </c>
      <c r="G73" s="9">
        <v>63.7</v>
      </c>
      <c r="H73" s="10">
        <v>228</v>
      </c>
      <c r="I73" s="10">
        <f t="shared" si="3"/>
        <v>456</v>
      </c>
      <c r="J73" s="11"/>
      <c r="K73" s="11">
        <v>0</v>
      </c>
      <c r="L73" s="74">
        <f t="shared" si="4"/>
        <v>456</v>
      </c>
      <c r="M73" s="34">
        <f t="shared" si="0"/>
        <v>127.4</v>
      </c>
    </row>
    <row r="74" spans="1:13" ht="15" customHeight="1" x14ac:dyDescent="0.2">
      <c r="A74" s="30" t="s">
        <v>37</v>
      </c>
      <c r="B74" s="31" t="s">
        <v>76</v>
      </c>
      <c r="C74" s="8"/>
      <c r="D74" s="32"/>
      <c r="E74" s="32" t="s">
        <v>255</v>
      </c>
      <c r="F74" s="40">
        <v>1</v>
      </c>
      <c r="G74" s="9">
        <v>50.7</v>
      </c>
      <c r="H74" s="10">
        <v>78</v>
      </c>
      <c r="I74" s="10">
        <f t="shared" si="3"/>
        <v>78</v>
      </c>
      <c r="J74" s="11"/>
      <c r="K74" s="11">
        <v>0</v>
      </c>
      <c r="L74" s="74">
        <f t="shared" si="4"/>
        <v>78</v>
      </c>
      <c r="M74" s="34">
        <f t="shared" si="0"/>
        <v>50.7</v>
      </c>
    </row>
    <row r="75" spans="1:13" ht="15" customHeight="1" x14ac:dyDescent="0.2">
      <c r="A75" s="30" t="s">
        <v>37</v>
      </c>
      <c r="B75" s="31" t="s">
        <v>48</v>
      </c>
      <c r="C75" s="8"/>
      <c r="D75" s="32"/>
      <c r="E75" s="32" t="s">
        <v>227</v>
      </c>
      <c r="F75" s="40">
        <v>3</v>
      </c>
      <c r="G75" s="9">
        <v>13</v>
      </c>
      <c r="H75" s="10">
        <v>20</v>
      </c>
      <c r="I75" s="10">
        <f t="shared" si="3"/>
        <v>60</v>
      </c>
      <c r="J75" s="11"/>
      <c r="K75" s="11">
        <v>0</v>
      </c>
      <c r="L75" s="74">
        <f t="shared" si="4"/>
        <v>60</v>
      </c>
      <c r="M75" s="34">
        <f t="shared" si="0"/>
        <v>39</v>
      </c>
    </row>
    <row r="76" spans="1:13" ht="15" customHeight="1" x14ac:dyDescent="0.2">
      <c r="A76" s="30" t="s">
        <v>37</v>
      </c>
      <c r="B76" s="31" t="s">
        <v>85</v>
      </c>
      <c r="C76" s="8"/>
      <c r="D76" s="32"/>
      <c r="E76" s="32" t="s">
        <v>264</v>
      </c>
      <c r="F76" s="40">
        <v>2</v>
      </c>
      <c r="G76" s="9">
        <v>83.2</v>
      </c>
      <c r="H76" s="10">
        <v>138</v>
      </c>
      <c r="I76" s="10">
        <f t="shared" si="3"/>
        <v>276</v>
      </c>
      <c r="J76" s="11"/>
      <c r="K76" s="11">
        <v>0</v>
      </c>
      <c r="L76" s="74">
        <f t="shared" si="4"/>
        <v>276</v>
      </c>
      <c r="M76" s="34">
        <f t="shared" si="0"/>
        <v>166.4</v>
      </c>
    </row>
    <row r="77" spans="1:13" ht="15" customHeight="1" x14ac:dyDescent="0.2">
      <c r="A77" s="30" t="s">
        <v>37</v>
      </c>
      <c r="B77" s="31" t="s">
        <v>63</v>
      </c>
      <c r="C77" s="8"/>
      <c r="D77" s="32"/>
      <c r="E77" s="32" t="s">
        <v>242</v>
      </c>
      <c r="F77" s="40">
        <v>4</v>
      </c>
      <c r="G77" s="9">
        <v>5</v>
      </c>
      <c r="H77" s="10">
        <v>10</v>
      </c>
      <c r="I77" s="10">
        <f t="shared" si="3"/>
        <v>40</v>
      </c>
      <c r="J77" s="11"/>
      <c r="K77" s="11">
        <v>0</v>
      </c>
      <c r="L77" s="74">
        <f t="shared" si="4"/>
        <v>40</v>
      </c>
      <c r="M77" s="34">
        <f t="shared" si="0"/>
        <v>20</v>
      </c>
    </row>
    <row r="78" spans="1:13" ht="15" customHeight="1" x14ac:dyDescent="0.2">
      <c r="A78" s="30" t="s">
        <v>37</v>
      </c>
      <c r="B78" s="31" t="s">
        <v>54</v>
      </c>
      <c r="C78" s="8"/>
      <c r="D78" s="32"/>
      <c r="E78" s="32" t="s">
        <v>233</v>
      </c>
      <c r="F78" s="40">
        <v>2</v>
      </c>
      <c r="G78" s="9">
        <v>115.7</v>
      </c>
      <c r="H78" s="10">
        <v>188</v>
      </c>
      <c r="I78" s="10">
        <f t="shared" si="3"/>
        <v>376</v>
      </c>
      <c r="J78" s="11"/>
      <c r="K78" s="11">
        <v>0</v>
      </c>
      <c r="L78" s="74">
        <f t="shared" si="4"/>
        <v>376</v>
      </c>
      <c r="M78" s="34">
        <f t="shared" si="0"/>
        <v>231.4</v>
      </c>
    </row>
    <row r="79" spans="1:13" ht="15" customHeight="1" x14ac:dyDescent="0.2">
      <c r="A79" s="30" t="s">
        <v>37</v>
      </c>
      <c r="B79" s="31" t="s">
        <v>82</v>
      </c>
      <c r="C79" s="8"/>
      <c r="D79" s="32" t="s">
        <v>158</v>
      </c>
      <c r="E79" s="32" t="s">
        <v>261</v>
      </c>
      <c r="F79" s="40">
        <v>1</v>
      </c>
      <c r="G79" s="9">
        <v>158</v>
      </c>
      <c r="H79" s="10">
        <v>258</v>
      </c>
      <c r="I79" s="10">
        <f t="shared" si="3"/>
        <v>258</v>
      </c>
      <c r="J79" s="11"/>
      <c r="K79" s="11">
        <v>0</v>
      </c>
      <c r="L79" s="74">
        <f t="shared" si="4"/>
        <v>258</v>
      </c>
      <c r="M79" s="34">
        <f t="shared" si="0"/>
        <v>158</v>
      </c>
    </row>
    <row r="80" spans="1:13" ht="15" customHeight="1" x14ac:dyDescent="0.2">
      <c r="A80" s="30" t="s">
        <v>37</v>
      </c>
      <c r="B80" s="31" t="s">
        <v>86</v>
      </c>
      <c r="C80" s="8"/>
      <c r="D80" s="32" t="s">
        <v>159</v>
      </c>
      <c r="E80" s="32" t="s">
        <v>265</v>
      </c>
      <c r="F80" s="40">
        <v>30</v>
      </c>
      <c r="G80" s="9">
        <v>3</v>
      </c>
      <c r="H80" s="10">
        <v>5</v>
      </c>
      <c r="I80" s="10">
        <f t="shared" si="3"/>
        <v>150</v>
      </c>
      <c r="J80" s="11"/>
      <c r="K80" s="11">
        <v>0</v>
      </c>
      <c r="L80" s="74">
        <f t="shared" si="4"/>
        <v>150</v>
      </c>
      <c r="M80" s="34">
        <f t="shared" si="0"/>
        <v>90</v>
      </c>
    </row>
    <row r="81" spans="1:13" ht="15" customHeight="1" x14ac:dyDescent="0.2">
      <c r="A81" s="30" t="s">
        <v>37</v>
      </c>
      <c r="B81" s="31" t="s">
        <v>87</v>
      </c>
      <c r="C81" s="8"/>
      <c r="D81" s="32"/>
      <c r="E81" s="32" t="s">
        <v>266</v>
      </c>
      <c r="F81" s="40">
        <v>13</v>
      </c>
      <c r="G81" s="9">
        <v>3</v>
      </c>
      <c r="H81" s="10">
        <v>5</v>
      </c>
      <c r="I81" s="10">
        <f t="shared" si="3"/>
        <v>65</v>
      </c>
      <c r="J81" s="11"/>
      <c r="K81" s="11">
        <v>0</v>
      </c>
      <c r="L81" s="74">
        <f t="shared" si="4"/>
        <v>65</v>
      </c>
      <c r="M81" s="34">
        <f t="shared" si="0"/>
        <v>39</v>
      </c>
    </row>
    <row r="82" spans="1:13" ht="15" customHeight="1" x14ac:dyDescent="0.2">
      <c r="A82" s="30" t="s">
        <v>37</v>
      </c>
      <c r="B82" s="31" t="s">
        <v>69</v>
      </c>
      <c r="C82" s="8"/>
      <c r="D82" s="32"/>
      <c r="E82" s="32" t="s">
        <v>248</v>
      </c>
      <c r="F82" s="40">
        <v>16</v>
      </c>
      <c r="G82" s="9">
        <v>32.5</v>
      </c>
      <c r="H82" s="10">
        <v>60</v>
      </c>
      <c r="I82" s="10">
        <f t="shared" si="3"/>
        <v>960</v>
      </c>
      <c r="J82" s="11"/>
      <c r="K82" s="11">
        <v>0</v>
      </c>
      <c r="L82" s="74">
        <f t="shared" si="4"/>
        <v>960</v>
      </c>
      <c r="M82" s="34">
        <f t="shared" si="0"/>
        <v>520</v>
      </c>
    </row>
    <row r="83" spans="1:13" ht="15" customHeight="1" x14ac:dyDescent="0.2">
      <c r="A83" s="30" t="s">
        <v>37</v>
      </c>
      <c r="B83" s="31" t="s">
        <v>48</v>
      </c>
      <c r="C83" s="8"/>
      <c r="D83" s="32"/>
      <c r="E83" s="32" t="s">
        <v>227</v>
      </c>
      <c r="F83" s="40">
        <v>7</v>
      </c>
      <c r="G83" s="9">
        <v>13</v>
      </c>
      <c r="H83" s="10">
        <v>20</v>
      </c>
      <c r="I83" s="10">
        <f t="shared" si="3"/>
        <v>140</v>
      </c>
      <c r="J83" s="11"/>
      <c r="K83" s="11">
        <v>10</v>
      </c>
      <c r="L83" s="74">
        <f t="shared" si="4"/>
        <v>130</v>
      </c>
      <c r="M83" s="34">
        <f t="shared" si="0"/>
        <v>91</v>
      </c>
    </row>
    <row r="84" spans="1:13" ht="15" customHeight="1" x14ac:dyDescent="0.2">
      <c r="A84" s="30" t="s">
        <v>37</v>
      </c>
      <c r="B84" s="31" t="s">
        <v>88</v>
      </c>
      <c r="C84" s="8"/>
      <c r="D84" s="32"/>
      <c r="E84" s="32" t="s">
        <v>267</v>
      </c>
      <c r="F84" s="40">
        <v>1</v>
      </c>
      <c r="G84" s="9">
        <v>12.5</v>
      </c>
      <c r="H84" s="10">
        <v>20</v>
      </c>
      <c r="I84" s="10">
        <f t="shared" si="3"/>
        <v>20</v>
      </c>
      <c r="J84" s="11"/>
      <c r="K84" s="11">
        <v>0</v>
      </c>
      <c r="L84" s="74">
        <f t="shared" si="4"/>
        <v>20</v>
      </c>
      <c r="M84" s="34">
        <f t="shared" si="0"/>
        <v>12.5</v>
      </c>
    </row>
    <row r="85" spans="1:13" ht="15" customHeight="1" x14ac:dyDescent="0.2">
      <c r="A85" s="30" t="s">
        <v>37</v>
      </c>
      <c r="B85" s="31" t="s">
        <v>73</v>
      </c>
      <c r="C85" s="8"/>
      <c r="D85" s="32"/>
      <c r="E85" s="32" t="s">
        <v>252</v>
      </c>
      <c r="F85" s="40">
        <v>1</v>
      </c>
      <c r="G85" s="9">
        <v>6.5</v>
      </c>
      <c r="H85" s="10">
        <v>10</v>
      </c>
      <c r="I85" s="10">
        <f t="shared" si="3"/>
        <v>10</v>
      </c>
      <c r="J85" s="11"/>
      <c r="K85" s="11">
        <v>0</v>
      </c>
      <c r="L85" s="74">
        <f t="shared" si="4"/>
        <v>10</v>
      </c>
      <c r="M85" s="34">
        <f t="shared" si="0"/>
        <v>6.5</v>
      </c>
    </row>
    <row r="86" spans="1:13" ht="15" customHeight="1" x14ac:dyDescent="0.2">
      <c r="A86" s="30" t="s">
        <v>37</v>
      </c>
      <c r="B86" s="31" t="s">
        <v>89</v>
      </c>
      <c r="C86" s="8"/>
      <c r="D86" s="32" t="s">
        <v>160</v>
      </c>
      <c r="E86" s="32" t="s">
        <v>268</v>
      </c>
      <c r="F86" s="40">
        <v>1</v>
      </c>
      <c r="G86" s="9">
        <v>3255</v>
      </c>
      <c r="H86" s="10">
        <v>5625</v>
      </c>
      <c r="I86" s="10">
        <f t="shared" si="3"/>
        <v>5625</v>
      </c>
      <c r="J86" s="11"/>
      <c r="K86" s="11">
        <v>0</v>
      </c>
      <c r="L86" s="74">
        <f t="shared" si="4"/>
        <v>5625</v>
      </c>
      <c r="M86" s="34">
        <f t="shared" si="0"/>
        <v>3255</v>
      </c>
    </row>
    <row r="87" spans="1:13" ht="15" customHeight="1" x14ac:dyDescent="0.2">
      <c r="A87" s="30" t="s">
        <v>38</v>
      </c>
      <c r="B87" s="31" t="s">
        <v>90</v>
      </c>
      <c r="C87" s="8"/>
      <c r="D87" s="32" t="s">
        <v>161</v>
      </c>
      <c r="E87" s="32" t="s">
        <v>269</v>
      </c>
      <c r="F87" s="40">
        <v>1</v>
      </c>
      <c r="G87" s="9">
        <v>421.2</v>
      </c>
      <c r="H87" s="10">
        <v>648</v>
      </c>
      <c r="I87" s="10">
        <f t="shared" si="3"/>
        <v>648</v>
      </c>
      <c r="J87" s="11"/>
      <c r="K87" s="11">
        <v>0</v>
      </c>
      <c r="L87" s="74">
        <f t="shared" si="4"/>
        <v>648</v>
      </c>
      <c r="M87" s="34">
        <f t="shared" si="0"/>
        <v>421.2</v>
      </c>
    </row>
    <row r="88" spans="1:13" ht="15" customHeight="1" x14ac:dyDescent="0.2">
      <c r="A88" s="30" t="s">
        <v>38</v>
      </c>
      <c r="B88" s="31" t="s">
        <v>65</v>
      </c>
      <c r="C88" s="8"/>
      <c r="D88" s="32" t="s">
        <v>162</v>
      </c>
      <c r="E88" s="32" t="s">
        <v>244</v>
      </c>
      <c r="F88" s="40">
        <v>2</v>
      </c>
      <c r="G88" s="9">
        <v>65</v>
      </c>
      <c r="H88" s="10">
        <v>128</v>
      </c>
      <c r="I88" s="10">
        <f t="shared" si="3"/>
        <v>256</v>
      </c>
      <c r="J88" s="11"/>
      <c r="K88" s="11">
        <v>0</v>
      </c>
      <c r="L88" s="74">
        <f t="shared" si="4"/>
        <v>256</v>
      </c>
      <c r="M88" s="34">
        <f t="shared" si="0"/>
        <v>130</v>
      </c>
    </row>
    <row r="89" spans="1:13" ht="15" customHeight="1" x14ac:dyDescent="0.2">
      <c r="A89" s="30" t="s">
        <v>38</v>
      </c>
      <c r="B89" s="31" t="s">
        <v>69</v>
      </c>
      <c r="C89" s="8"/>
      <c r="D89" s="32" t="s">
        <v>163</v>
      </c>
      <c r="E89" s="32" t="s">
        <v>248</v>
      </c>
      <c r="F89" s="40">
        <v>4</v>
      </c>
      <c r="G89" s="9">
        <v>32.5</v>
      </c>
      <c r="H89" s="10">
        <v>60</v>
      </c>
      <c r="I89" s="10">
        <f t="shared" si="3"/>
        <v>240</v>
      </c>
      <c r="J89" s="11"/>
      <c r="K89" s="11">
        <v>0</v>
      </c>
      <c r="L89" s="74">
        <f t="shared" si="4"/>
        <v>240</v>
      </c>
      <c r="M89" s="34">
        <f t="shared" si="0"/>
        <v>130</v>
      </c>
    </row>
    <row r="90" spans="1:13" ht="15" customHeight="1" x14ac:dyDescent="0.2">
      <c r="A90" s="30" t="s">
        <v>38</v>
      </c>
      <c r="B90" s="31" t="s">
        <v>48</v>
      </c>
      <c r="C90" s="8"/>
      <c r="D90" s="32"/>
      <c r="E90" s="32" t="s">
        <v>227</v>
      </c>
      <c r="F90" s="40">
        <v>4</v>
      </c>
      <c r="G90" s="9">
        <v>13</v>
      </c>
      <c r="H90" s="10">
        <v>20</v>
      </c>
      <c r="I90" s="10">
        <f t="shared" si="3"/>
        <v>80</v>
      </c>
      <c r="J90" s="11"/>
      <c r="K90" s="11">
        <v>0</v>
      </c>
      <c r="L90" s="74">
        <f t="shared" si="4"/>
        <v>80</v>
      </c>
      <c r="M90" s="34">
        <f t="shared" si="0"/>
        <v>52</v>
      </c>
    </row>
    <row r="91" spans="1:13" ht="15" customHeight="1" x14ac:dyDescent="0.2">
      <c r="A91" s="30" t="s">
        <v>38</v>
      </c>
      <c r="B91" s="31" t="s">
        <v>77</v>
      </c>
      <c r="C91" s="8"/>
      <c r="D91" s="32"/>
      <c r="E91" s="32" t="s">
        <v>256</v>
      </c>
      <c r="F91" s="40">
        <v>1</v>
      </c>
      <c r="G91" s="9">
        <v>102.7</v>
      </c>
      <c r="H91" s="10">
        <v>248</v>
      </c>
      <c r="I91" s="10">
        <f t="shared" si="3"/>
        <v>248</v>
      </c>
      <c r="J91" s="11"/>
      <c r="K91" s="11">
        <v>0</v>
      </c>
      <c r="L91" s="74">
        <f t="shared" si="4"/>
        <v>248</v>
      </c>
      <c r="M91" s="34">
        <f t="shared" si="0"/>
        <v>102.7</v>
      </c>
    </row>
    <row r="92" spans="1:13" ht="15" customHeight="1" x14ac:dyDescent="0.2">
      <c r="A92" s="30" t="s">
        <v>38</v>
      </c>
      <c r="B92" s="31" t="s">
        <v>47</v>
      </c>
      <c r="C92" s="8"/>
      <c r="D92" s="32"/>
      <c r="E92" s="32" t="s">
        <v>226</v>
      </c>
      <c r="F92" s="40">
        <v>1</v>
      </c>
      <c r="G92" s="9">
        <v>115.7</v>
      </c>
      <c r="H92" s="10">
        <v>188</v>
      </c>
      <c r="I92" s="10">
        <f t="shared" si="3"/>
        <v>188</v>
      </c>
      <c r="J92" s="11"/>
      <c r="K92" s="11">
        <v>0</v>
      </c>
      <c r="L92" s="74">
        <f t="shared" si="4"/>
        <v>188</v>
      </c>
      <c r="M92" s="34">
        <f t="shared" si="0"/>
        <v>115.7</v>
      </c>
    </row>
    <row r="93" spans="1:13" ht="15" customHeight="1" x14ac:dyDescent="0.2">
      <c r="A93" s="30" t="s">
        <v>39</v>
      </c>
      <c r="B93" s="31" t="s">
        <v>90</v>
      </c>
      <c r="C93" s="8"/>
      <c r="D93" s="32" t="s">
        <v>164</v>
      </c>
      <c r="E93" s="32" t="s">
        <v>269</v>
      </c>
      <c r="F93" s="40">
        <v>1</v>
      </c>
      <c r="G93" s="9">
        <v>421.2</v>
      </c>
      <c r="H93" s="10">
        <v>648</v>
      </c>
      <c r="I93" s="10">
        <f t="shared" si="3"/>
        <v>648</v>
      </c>
      <c r="J93" s="11"/>
      <c r="K93" s="11">
        <v>0</v>
      </c>
      <c r="L93" s="74">
        <f t="shared" si="4"/>
        <v>648</v>
      </c>
      <c r="M93" s="34">
        <f t="shared" si="0"/>
        <v>421.2</v>
      </c>
    </row>
    <row r="94" spans="1:13" ht="15" customHeight="1" x14ac:dyDescent="0.2">
      <c r="A94" s="30" t="s">
        <v>39</v>
      </c>
      <c r="B94" s="31" t="s">
        <v>58</v>
      </c>
      <c r="C94" s="8"/>
      <c r="D94" s="32" t="s">
        <v>165</v>
      </c>
      <c r="E94" s="32" t="s">
        <v>237</v>
      </c>
      <c r="F94" s="40">
        <v>1</v>
      </c>
      <c r="G94" s="9">
        <v>421.2</v>
      </c>
      <c r="H94" s="10">
        <v>648</v>
      </c>
      <c r="I94" s="10">
        <f t="shared" si="3"/>
        <v>648</v>
      </c>
      <c r="J94" s="11"/>
      <c r="K94" s="11">
        <v>0</v>
      </c>
      <c r="L94" s="74">
        <f t="shared" si="4"/>
        <v>648</v>
      </c>
      <c r="M94" s="34">
        <f t="shared" si="0"/>
        <v>421.2</v>
      </c>
    </row>
    <row r="95" spans="1:13" ht="15" customHeight="1" x14ac:dyDescent="0.2">
      <c r="A95" s="30" t="s">
        <v>39</v>
      </c>
      <c r="B95" s="31" t="s">
        <v>91</v>
      </c>
      <c r="C95" s="8"/>
      <c r="D95" s="32" t="s">
        <v>166</v>
      </c>
      <c r="E95" s="32" t="s">
        <v>270</v>
      </c>
      <c r="F95" s="40">
        <v>1</v>
      </c>
      <c r="G95" s="9">
        <v>30000</v>
      </c>
      <c r="H95" s="10">
        <v>70000</v>
      </c>
      <c r="I95" s="10">
        <f t="shared" si="3"/>
        <v>70000</v>
      </c>
      <c r="J95" s="11"/>
      <c r="K95" s="11">
        <v>0</v>
      </c>
      <c r="L95" s="74">
        <f t="shared" si="4"/>
        <v>70000</v>
      </c>
      <c r="M95" s="34">
        <f t="shared" si="0"/>
        <v>30000</v>
      </c>
    </row>
    <row r="96" spans="1:13" ht="15" customHeight="1" x14ac:dyDescent="0.2">
      <c r="A96" s="30" t="s">
        <v>40</v>
      </c>
      <c r="B96" s="31" t="s">
        <v>92</v>
      </c>
      <c r="C96" s="8"/>
      <c r="D96" s="32" t="s">
        <v>167</v>
      </c>
      <c r="E96" s="32" t="s">
        <v>271</v>
      </c>
      <c r="F96" s="40">
        <v>1</v>
      </c>
      <c r="G96" s="9">
        <v>388.7</v>
      </c>
      <c r="H96" s="10">
        <v>598</v>
      </c>
      <c r="I96" s="10">
        <f t="shared" si="3"/>
        <v>598</v>
      </c>
      <c r="J96" s="11"/>
      <c r="K96" s="11">
        <v>0</v>
      </c>
      <c r="L96" s="74">
        <f t="shared" si="4"/>
        <v>598</v>
      </c>
      <c r="M96" s="34">
        <f t="shared" si="0"/>
        <v>388.7</v>
      </c>
    </row>
    <row r="97" spans="1:13" ht="15" customHeight="1" x14ac:dyDescent="0.2">
      <c r="A97" s="30" t="s">
        <v>40</v>
      </c>
      <c r="B97" s="31" t="s">
        <v>79</v>
      </c>
      <c r="C97" s="8"/>
      <c r="D97" s="32"/>
      <c r="E97" s="32" t="s">
        <v>258</v>
      </c>
      <c r="F97" s="40">
        <v>2</v>
      </c>
      <c r="G97" s="9">
        <v>122.2</v>
      </c>
      <c r="H97" s="10">
        <v>228</v>
      </c>
      <c r="I97" s="10">
        <f t="shared" si="3"/>
        <v>456</v>
      </c>
      <c r="J97" s="11"/>
      <c r="K97" s="11">
        <v>0</v>
      </c>
      <c r="L97" s="74">
        <f t="shared" si="4"/>
        <v>456</v>
      </c>
      <c r="M97" s="34">
        <f t="shared" si="0"/>
        <v>244.4</v>
      </c>
    </row>
    <row r="98" spans="1:13" ht="15" customHeight="1" x14ac:dyDescent="0.2">
      <c r="A98" s="30" t="s">
        <v>40</v>
      </c>
      <c r="B98" s="31" t="s">
        <v>79</v>
      </c>
      <c r="C98" s="8"/>
      <c r="D98" s="32" t="s">
        <v>168</v>
      </c>
      <c r="E98" s="32" t="s">
        <v>258</v>
      </c>
      <c r="F98" s="40">
        <v>3</v>
      </c>
      <c r="G98" s="9">
        <v>122.2</v>
      </c>
      <c r="H98" s="10">
        <v>228</v>
      </c>
      <c r="I98" s="10">
        <f t="shared" si="3"/>
        <v>684</v>
      </c>
      <c r="J98" s="11"/>
      <c r="K98" s="11">
        <v>0</v>
      </c>
      <c r="L98" s="74">
        <f t="shared" si="4"/>
        <v>684</v>
      </c>
      <c r="M98" s="34">
        <f t="shared" si="0"/>
        <v>366.6</v>
      </c>
    </row>
    <row r="99" spans="1:13" ht="15" customHeight="1" x14ac:dyDescent="0.2">
      <c r="A99" s="30" t="s">
        <v>41</v>
      </c>
      <c r="B99" s="31" t="s">
        <v>93</v>
      </c>
      <c r="C99" s="8"/>
      <c r="D99" s="32" t="s">
        <v>169</v>
      </c>
      <c r="E99" s="32" t="s">
        <v>272</v>
      </c>
      <c r="F99" s="40">
        <v>1</v>
      </c>
      <c r="G99" s="9">
        <v>421.2</v>
      </c>
      <c r="H99" s="10">
        <v>648</v>
      </c>
      <c r="I99" s="10">
        <f t="shared" si="3"/>
        <v>648</v>
      </c>
      <c r="J99" s="11"/>
      <c r="K99" s="11">
        <v>0</v>
      </c>
      <c r="L99" s="74">
        <f t="shared" si="4"/>
        <v>648</v>
      </c>
      <c r="M99" s="34">
        <f t="shared" si="0"/>
        <v>421.2</v>
      </c>
    </row>
    <row r="100" spans="1:13" ht="15" customHeight="1" x14ac:dyDescent="0.2">
      <c r="A100" s="30" t="s">
        <v>41</v>
      </c>
      <c r="B100" s="31" t="s">
        <v>56</v>
      </c>
      <c r="C100" s="8"/>
      <c r="D100" s="32"/>
      <c r="E100" s="32" t="s">
        <v>235</v>
      </c>
      <c r="F100" s="40">
        <v>1</v>
      </c>
      <c r="G100" s="9">
        <v>421.2</v>
      </c>
      <c r="H100" s="10">
        <v>648</v>
      </c>
      <c r="I100" s="10">
        <f t="shared" si="3"/>
        <v>648</v>
      </c>
      <c r="J100" s="11"/>
      <c r="K100" s="11">
        <v>0</v>
      </c>
      <c r="L100" s="74">
        <f t="shared" si="4"/>
        <v>648</v>
      </c>
      <c r="M100" s="34">
        <f t="shared" si="0"/>
        <v>421.2</v>
      </c>
    </row>
    <row r="101" spans="1:13" ht="15" customHeight="1" x14ac:dyDescent="0.2">
      <c r="A101" s="30" t="s">
        <v>41</v>
      </c>
      <c r="B101" s="31" t="s">
        <v>94</v>
      </c>
      <c r="C101" s="8"/>
      <c r="D101" s="32"/>
      <c r="E101" s="32" t="s">
        <v>273</v>
      </c>
      <c r="F101" s="40">
        <v>1</v>
      </c>
      <c r="G101" s="9">
        <v>291.2</v>
      </c>
      <c r="H101" s="10">
        <v>448</v>
      </c>
      <c r="I101" s="10">
        <f t="shared" si="3"/>
        <v>448</v>
      </c>
      <c r="J101" s="11"/>
      <c r="K101" s="11">
        <v>0</v>
      </c>
      <c r="L101" s="74">
        <f t="shared" si="4"/>
        <v>448</v>
      </c>
      <c r="M101" s="34">
        <f t="shared" si="0"/>
        <v>291.2</v>
      </c>
    </row>
    <row r="102" spans="1:13" ht="15" customHeight="1" x14ac:dyDescent="0.2">
      <c r="A102" s="30" t="s">
        <v>41</v>
      </c>
      <c r="B102" s="31" t="s">
        <v>95</v>
      </c>
      <c r="C102" s="8"/>
      <c r="D102" s="32" t="s">
        <v>170</v>
      </c>
      <c r="E102" s="32" t="s">
        <v>274</v>
      </c>
      <c r="F102" s="40">
        <v>1</v>
      </c>
      <c r="G102" s="9">
        <v>160</v>
      </c>
      <c r="H102" s="10">
        <v>228</v>
      </c>
      <c r="I102" s="10">
        <f t="shared" si="3"/>
        <v>228</v>
      </c>
      <c r="J102" s="11"/>
      <c r="K102" s="11">
        <v>0</v>
      </c>
      <c r="L102" s="74">
        <f t="shared" si="4"/>
        <v>228</v>
      </c>
      <c r="M102" s="34">
        <f t="shared" si="0"/>
        <v>160</v>
      </c>
    </row>
    <row r="103" spans="1:13" ht="15" customHeight="1" x14ac:dyDescent="0.2">
      <c r="A103" s="30" t="s">
        <v>41</v>
      </c>
      <c r="B103" s="31" t="s">
        <v>77</v>
      </c>
      <c r="C103" s="8"/>
      <c r="D103" s="32" t="s">
        <v>171</v>
      </c>
      <c r="E103" s="32" t="s">
        <v>256</v>
      </c>
      <c r="F103" s="40">
        <v>7</v>
      </c>
      <c r="G103" s="9">
        <v>102.7</v>
      </c>
      <c r="H103" s="10">
        <v>248</v>
      </c>
      <c r="I103" s="10">
        <f t="shared" si="3"/>
        <v>1736</v>
      </c>
      <c r="J103" s="11"/>
      <c r="K103" s="11">
        <v>0</v>
      </c>
      <c r="L103" s="74">
        <f t="shared" si="4"/>
        <v>1736</v>
      </c>
      <c r="M103" s="34">
        <f t="shared" si="0"/>
        <v>718.9</v>
      </c>
    </row>
    <row r="104" spans="1:13" ht="15" customHeight="1" x14ac:dyDescent="0.2">
      <c r="A104" s="30" t="s">
        <v>41</v>
      </c>
      <c r="B104" s="31" t="s">
        <v>82</v>
      </c>
      <c r="C104" s="8"/>
      <c r="D104" s="32" t="s">
        <v>172</v>
      </c>
      <c r="E104" s="32" t="s">
        <v>261</v>
      </c>
      <c r="F104" s="40">
        <v>2</v>
      </c>
      <c r="G104" s="9">
        <v>158</v>
      </c>
      <c r="H104" s="10">
        <v>258</v>
      </c>
      <c r="I104" s="10">
        <f t="shared" si="3"/>
        <v>516</v>
      </c>
      <c r="J104" s="11"/>
      <c r="K104" s="11">
        <v>0</v>
      </c>
      <c r="L104" s="74">
        <f t="shared" si="4"/>
        <v>516</v>
      </c>
      <c r="M104" s="34">
        <f t="shared" si="0"/>
        <v>316</v>
      </c>
    </row>
    <row r="105" spans="1:13" ht="15" customHeight="1" x14ac:dyDescent="0.2">
      <c r="A105" s="30" t="s">
        <v>41</v>
      </c>
      <c r="B105" s="31" t="s">
        <v>90</v>
      </c>
      <c r="C105" s="8"/>
      <c r="D105" s="32" t="s">
        <v>173</v>
      </c>
      <c r="E105" s="32" t="s">
        <v>269</v>
      </c>
      <c r="F105" s="40">
        <v>1</v>
      </c>
      <c r="G105" s="9">
        <v>421.2</v>
      </c>
      <c r="H105" s="10">
        <v>648</v>
      </c>
      <c r="I105" s="10">
        <f t="shared" si="3"/>
        <v>648</v>
      </c>
      <c r="J105" s="11"/>
      <c r="K105" s="11">
        <v>0</v>
      </c>
      <c r="L105" s="74">
        <f t="shared" si="4"/>
        <v>648</v>
      </c>
      <c r="M105" s="34">
        <f t="shared" si="0"/>
        <v>421.2</v>
      </c>
    </row>
    <row r="106" spans="1:13" ht="15" customHeight="1" x14ac:dyDescent="0.2">
      <c r="A106" s="30" t="s">
        <v>41</v>
      </c>
      <c r="B106" s="31" t="s">
        <v>50</v>
      </c>
      <c r="C106" s="8"/>
      <c r="D106" s="32"/>
      <c r="E106" s="32" t="s">
        <v>229</v>
      </c>
      <c r="F106" s="40">
        <v>2</v>
      </c>
      <c r="G106" s="9">
        <v>44.2</v>
      </c>
      <c r="H106" s="10">
        <v>78</v>
      </c>
      <c r="I106" s="10">
        <f t="shared" si="3"/>
        <v>156</v>
      </c>
      <c r="J106" s="11"/>
      <c r="K106" s="11">
        <v>0</v>
      </c>
      <c r="L106" s="74">
        <f t="shared" si="4"/>
        <v>156</v>
      </c>
      <c r="M106" s="34">
        <f t="shared" si="0"/>
        <v>88.4</v>
      </c>
    </row>
    <row r="107" spans="1:13" ht="15" customHeight="1" x14ac:dyDescent="0.2">
      <c r="A107" s="30" t="s">
        <v>41</v>
      </c>
      <c r="B107" s="31" t="s">
        <v>53</v>
      </c>
      <c r="C107" s="8"/>
      <c r="D107" s="32" t="s">
        <v>174</v>
      </c>
      <c r="E107" s="32" t="s">
        <v>232</v>
      </c>
      <c r="F107" s="40">
        <v>1</v>
      </c>
      <c r="G107" s="9">
        <v>187.2</v>
      </c>
      <c r="H107" s="10">
        <v>288</v>
      </c>
      <c r="I107" s="10">
        <f t="shared" si="3"/>
        <v>288</v>
      </c>
      <c r="J107" s="11"/>
      <c r="K107" s="11">
        <v>0</v>
      </c>
      <c r="L107" s="74">
        <f t="shared" si="4"/>
        <v>288</v>
      </c>
      <c r="M107" s="34">
        <f t="shared" si="0"/>
        <v>187.2</v>
      </c>
    </row>
    <row r="108" spans="1:13" ht="15" customHeight="1" x14ac:dyDescent="0.2">
      <c r="A108" s="30" t="s">
        <v>41</v>
      </c>
      <c r="B108" s="31" t="s">
        <v>57</v>
      </c>
      <c r="C108" s="8"/>
      <c r="D108" s="32"/>
      <c r="E108" s="32" t="s">
        <v>236</v>
      </c>
      <c r="F108" s="40">
        <v>1</v>
      </c>
      <c r="G108" s="9">
        <v>187.2</v>
      </c>
      <c r="H108" s="10">
        <v>288</v>
      </c>
      <c r="I108" s="10">
        <f t="shared" si="3"/>
        <v>288</v>
      </c>
      <c r="J108" s="11"/>
      <c r="K108" s="11">
        <v>0</v>
      </c>
      <c r="L108" s="74">
        <f t="shared" si="4"/>
        <v>288</v>
      </c>
      <c r="M108" s="34">
        <f t="shared" si="0"/>
        <v>187.2</v>
      </c>
    </row>
    <row r="109" spans="1:13" ht="15" customHeight="1" x14ac:dyDescent="0.2">
      <c r="A109" s="30" t="s">
        <v>41</v>
      </c>
      <c r="B109" s="31" t="s">
        <v>96</v>
      </c>
      <c r="C109" s="8"/>
      <c r="D109" s="32"/>
      <c r="E109" s="32" t="s">
        <v>275</v>
      </c>
      <c r="F109" s="40">
        <v>20</v>
      </c>
      <c r="G109" s="9">
        <v>12</v>
      </c>
      <c r="H109" s="10">
        <v>18</v>
      </c>
      <c r="I109" s="10">
        <f t="shared" si="3"/>
        <v>360</v>
      </c>
      <c r="J109" s="11"/>
      <c r="K109" s="11">
        <v>0</v>
      </c>
      <c r="L109" s="74">
        <f t="shared" si="4"/>
        <v>360</v>
      </c>
      <c r="M109" s="34">
        <f t="shared" si="0"/>
        <v>240</v>
      </c>
    </row>
    <row r="110" spans="1:13" ht="15" customHeight="1" x14ac:dyDescent="0.2">
      <c r="A110" s="30" t="s">
        <v>41</v>
      </c>
      <c r="B110" s="31" t="s">
        <v>66</v>
      </c>
      <c r="C110" s="8"/>
      <c r="D110" s="32"/>
      <c r="E110" s="32" t="s">
        <v>245</v>
      </c>
      <c r="F110" s="40">
        <v>3</v>
      </c>
      <c r="G110" s="9">
        <v>70</v>
      </c>
      <c r="H110" s="10">
        <v>98</v>
      </c>
      <c r="I110" s="10">
        <f t="shared" si="3"/>
        <v>294</v>
      </c>
      <c r="J110" s="11"/>
      <c r="K110" s="11">
        <v>0</v>
      </c>
      <c r="L110" s="74">
        <f t="shared" si="4"/>
        <v>294</v>
      </c>
      <c r="M110" s="34">
        <f t="shared" si="0"/>
        <v>210</v>
      </c>
    </row>
    <row r="111" spans="1:13" ht="15" customHeight="1" x14ac:dyDescent="0.2">
      <c r="A111" s="30" t="s">
        <v>41</v>
      </c>
      <c r="B111" s="31" t="s">
        <v>97</v>
      </c>
      <c r="C111" s="8"/>
      <c r="D111" s="32"/>
      <c r="E111" s="32" t="s">
        <v>276</v>
      </c>
      <c r="F111" s="40">
        <v>3</v>
      </c>
      <c r="G111" s="9">
        <v>172</v>
      </c>
      <c r="H111" s="10">
        <v>228</v>
      </c>
      <c r="I111" s="10">
        <f t="shared" si="3"/>
        <v>684</v>
      </c>
      <c r="J111" s="11"/>
      <c r="K111" s="11">
        <v>0</v>
      </c>
      <c r="L111" s="74">
        <f t="shared" si="4"/>
        <v>684</v>
      </c>
      <c r="M111" s="34">
        <f t="shared" si="0"/>
        <v>516</v>
      </c>
    </row>
    <row r="112" spans="1:13" ht="15" customHeight="1" x14ac:dyDescent="0.2">
      <c r="A112" s="30" t="s">
        <v>41</v>
      </c>
      <c r="B112" s="31" t="s">
        <v>54</v>
      </c>
      <c r="C112" s="8"/>
      <c r="D112" s="32"/>
      <c r="E112" s="32" t="s">
        <v>233</v>
      </c>
      <c r="F112" s="40">
        <v>3</v>
      </c>
      <c r="G112" s="9">
        <v>115.7</v>
      </c>
      <c r="H112" s="10">
        <v>188</v>
      </c>
      <c r="I112" s="10">
        <f t="shared" si="3"/>
        <v>564</v>
      </c>
      <c r="J112" s="11"/>
      <c r="K112" s="11">
        <v>0</v>
      </c>
      <c r="L112" s="74">
        <f t="shared" si="4"/>
        <v>564</v>
      </c>
      <c r="M112" s="34">
        <f t="shared" si="0"/>
        <v>347.1</v>
      </c>
    </row>
    <row r="113" spans="1:13" ht="15" customHeight="1" x14ac:dyDescent="0.2">
      <c r="A113" s="30" t="s">
        <v>41</v>
      </c>
      <c r="B113" s="31" t="s">
        <v>55</v>
      </c>
      <c r="C113" s="8"/>
      <c r="D113" s="32"/>
      <c r="E113" s="32" t="s">
        <v>234</v>
      </c>
      <c r="F113" s="40">
        <v>3</v>
      </c>
      <c r="G113" s="9">
        <v>63.7</v>
      </c>
      <c r="H113" s="10">
        <v>228</v>
      </c>
      <c r="I113" s="10">
        <f t="shared" si="3"/>
        <v>684</v>
      </c>
      <c r="J113" s="11"/>
      <c r="K113" s="11">
        <v>0</v>
      </c>
      <c r="L113" s="74">
        <f t="shared" si="4"/>
        <v>684</v>
      </c>
      <c r="M113" s="34">
        <f t="shared" si="0"/>
        <v>191.10000000000002</v>
      </c>
    </row>
    <row r="114" spans="1:13" ht="15" customHeight="1" x14ac:dyDescent="0.2">
      <c r="A114" s="30" t="s">
        <v>41</v>
      </c>
      <c r="B114" s="31" t="s">
        <v>48</v>
      </c>
      <c r="C114" s="8"/>
      <c r="D114" s="32"/>
      <c r="E114" s="32" t="s">
        <v>227</v>
      </c>
      <c r="F114" s="40">
        <v>15</v>
      </c>
      <c r="G114" s="9">
        <v>13</v>
      </c>
      <c r="H114" s="10">
        <v>20</v>
      </c>
      <c r="I114" s="10">
        <f t="shared" si="3"/>
        <v>300</v>
      </c>
      <c r="J114" s="11"/>
      <c r="K114" s="11">
        <v>0</v>
      </c>
      <c r="L114" s="74">
        <f t="shared" si="4"/>
        <v>300</v>
      </c>
      <c r="M114" s="34">
        <f t="shared" si="0"/>
        <v>195</v>
      </c>
    </row>
    <row r="115" spans="1:13" ht="15" customHeight="1" x14ac:dyDescent="0.2">
      <c r="A115" s="30" t="s">
        <v>41</v>
      </c>
      <c r="B115" s="31" t="s">
        <v>50</v>
      </c>
      <c r="C115" s="8"/>
      <c r="D115" s="32"/>
      <c r="E115" s="32" t="s">
        <v>229</v>
      </c>
      <c r="F115" s="40">
        <v>5</v>
      </c>
      <c r="G115" s="9">
        <v>44.2</v>
      </c>
      <c r="H115" s="10">
        <v>78</v>
      </c>
      <c r="I115" s="10">
        <f t="shared" si="3"/>
        <v>390</v>
      </c>
      <c r="J115" s="11"/>
      <c r="K115" s="11">
        <v>0</v>
      </c>
      <c r="L115" s="74">
        <f t="shared" si="4"/>
        <v>390</v>
      </c>
      <c r="M115" s="34">
        <f t="shared" si="0"/>
        <v>221</v>
      </c>
    </row>
    <row r="116" spans="1:13" ht="15" customHeight="1" x14ac:dyDescent="0.2">
      <c r="A116" s="30" t="s">
        <v>41</v>
      </c>
      <c r="B116" s="31" t="s">
        <v>98</v>
      </c>
      <c r="C116" s="8"/>
      <c r="D116" s="32"/>
      <c r="E116" s="32" t="s">
        <v>277</v>
      </c>
      <c r="F116" s="40">
        <v>10</v>
      </c>
      <c r="G116" s="9">
        <v>24.7</v>
      </c>
      <c r="H116" s="10">
        <v>48</v>
      </c>
      <c r="I116" s="10">
        <f t="shared" si="3"/>
        <v>480</v>
      </c>
      <c r="J116" s="11"/>
      <c r="K116" s="11">
        <v>0</v>
      </c>
      <c r="L116" s="74">
        <f t="shared" si="4"/>
        <v>480</v>
      </c>
      <c r="M116" s="34">
        <f t="shared" si="0"/>
        <v>247</v>
      </c>
    </row>
    <row r="117" spans="1:13" ht="15" customHeight="1" x14ac:dyDescent="0.2">
      <c r="A117" s="30" t="s">
        <v>41</v>
      </c>
      <c r="B117" s="31" t="s">
        <v>99</v>
      </c>
      <c r="C117" s="8"/>
      <c r="D117" s="32" t="s">
        <v>175</v>
      </c>
      <c r="E117" s="32" t="s">
        <v>278</v>
      </c>
      <c r="F117" s="40">
        <v>1</v>
      </c>
      <c r="G117" s="9">
        <v>291.2</v>
      </c>
      <c r="H117" s="10">
        <v>448</v>
      </c>
      <c r="I117" s="10">
        <f t="shared" si="3"/>
        <v>448</v>
      </c>
      <c r="J117" s="11"/>
      <c r="K117" s="11">
        <v>0</v>
      </c>
      <c r="L117" s="74">
        <f t="shared" si="4"/>
        <v>448</v>
      </c>
      <c r="M117" s="34">
        <f t="shared" si="0"/>
        <v>291.2</v>
      </c>
    </row>
    <row r="118" spans="1:13" ht="15" customHeight="1" x14ac:dyDescent="0.2">
      <c r="A118" s="30" t="s">
        <v>41</v>
      </c>
      <c r="B118" s="31" t="s">
        <v>100</v>
      </c>
      <c r="C118" s="8"/>
      <c r="D118" s="32"/>
      <c r="E118" s="32" t="s">
        <v>279</v>
      </c>
      <c r="F118" s="40">
        <v>1</v>
      </c>
      <c r="G118" s="9">
        <v>291.20999999999998</v>
      </c>
      <c r="H118" s="10">
        <v>448</v>
      </c>
      <c r="I118" s="10">
        <f t="shared" si="3"/>
        <v>448</v>
      </c>
      <c r="J118" s="11"/>
      <c r="K118" s="11">
        <v>0</v>
      </c>
      <c r="L118" s="74">
        <f t="shared" si="4"/>
        <v>448</v>
      </c>
      <c r="M118" s="34">
        <f t="shared" si="0"/>
        <v>291.20999999999998</v>
      </c>
    </row>
    <row r="119" spans="1:13" ht="15" customHeight="1" x14ac:dyDescent="0.2">
      <c r="A119" s="30" t="s">
        <v>41</v>
      </c>
      <c r="B119" s="31" t="s">
        <v>94</v>
      </c>
      <c r="C119" s="8"/>
      <c r="D119" s="32"/>
      <c r="E119" s="32" t="s">
        <v>273</v>
      </c>
      <c r="F119" s="40">
        <v>1</v>
      </c>
      <c r="G119" s="9">
        <v>291.2</v>
      </c>
      <c r="H119" s="10">
        <v>448</v>
      </c>
      <c r="I119" s="10">
        <f t="shared" si="3"/>
        <v>448</v>
      </c>
      <c r="J119" s="11"/>
      <c r="K119" s="11">
        <v>0</v>
      </c>
      <c r="L119" s="74">
        <f t="shared" si="4"/>
        <v>448</v>
      </c>
      <c r="M119" s="34">
        <f t="shared" si="0"/>
        <v>291.2</v>
      </c>
    </row>
    <row r="120" spans="1:13" ht="15" customHeight="1" x14ac:dyDescent="0.2">
      <c r="A120" s="30" t="s">
        <v>41</v>
      </c>
      <c r="B120" s="31" t="s">
        <v>97</v>
      </c>
      <c r="C120" s="8"/>
      <c r="D120" s="32" t="s">
        <v>176</v>
      </c>
      <c r="E120" s="32" t="s">
        <v>276</v>
      </c>
      <c r="F120" s="40">
        <v>1</v>
      </c>
      <c r="G120" s="9">
        <v>172</v>
      </c>
      <c r="H120" s="10">
        <v>228</v>
      </c>
      <c r="I120" s="10">
        <f t="shared" si="3"/>
        <v>228</v>
      </c>
      <c r="J120" s="11"/>
      <c r="K120" s="11">
        <v>0</v>
      </c>
      <c r="L120" s="74">
        <f t="shared" si="4"/>
        <v>228</v>
      </c>
      <c r="M120" s="34">
        <f t="shared" si="0"/>
        <v>172</v>
      </c>
    </row>
    <row r="121" spans="1:13" ht="15" customHeight="1" x14ac:dyDescent="0.2">
      <c r="A121" s="30" t="s">
        <v>41</v>
      </c>
      <c r="B121" s="31" t="s">
        <v>47</v>
      </c>
      <c r="C121" s="8"/>
      <c r="D121" s="32"/>
      <c r="E121" s="32" t="s">
        <v>226</v>
      </c>
      <c r="F121" s="40">
        <v>1</v>
      </c>
      <c r="G121" s="9">
        <v>115.7</v>
      </c>
      <c r="H121" s="10">
        <v>188</v>
      </c>
      <c r="I121" s="10">
        <f t="shared" si="3"/>
        <v>188</v>
      </c>
      <c r="J121" s="11"/>
      <c r="K121" s="11">
        <v>0</v>
      </c>
      <c r="L121" s="74">
        <f t="shared" si="4"/>
        <v>188</v>
      </c>
      <c r="M121" s="34">
        <f t="shared" si="0"/>
        <v>115.7</v>
      </c>
    </row>
    <row r="122" spans="1:13" ht="15" customHeight="1" x14ac:dyDescent="0.2">
      <c r="A122" s="30" t="s">
        <v>41</v>
      </c>
      <c r="B122" s="31" t="s">
        <v>48</v>
      </c>
      <c r="C122" s="8"/>
      <c r="D122" s="32"/>
      <c r="E122" s="32" t="s">
        <v>227</v>
      </c>
      <c r="F122" s="40">
        <v>2</v>
      </c>
      <c r="G122" s="9">
        <v>13</v>
      </c>
      <c r="H122" s="10">
        <v>20</v>
      </c>
      <c r="I122" s="10">
        <f t="shared" si="3"/>
        <v>40</v>
      </c>
      <c r="J122" s="11"/>
      <c r="K122" s="11">
        <v>0</v>
      </c>
      <c r="L122" s="74">
        <f t="shared" si="4"/>
        <v>40</v>
      </c>
      <c r="M122" s="34">
        <f t="shared" si="0"/>
        <v>26</v>
      </c>
    </row>
    <row r="123" spans="1:13" ht="15" customHeight="1" x14ac:dyDescent="0.2">
      <c r="A123" s="30" t="s">
        <v>41</v>
      </c>
      <c r="B123" s="31" t="s">
        <v>101</v>
      </c>
      <c r="C123" s="8"/>
      <c r="D123" s="32"/>
      <c r="E123" s="32" t="s">
        <v>280</v>
      </c>
      <c r="F123" s="40">
        <v>1</v>
      </c>
      <c r="G123" s="9">
        <v>24.7</v>
      </c>
      <c r="H123" s="10">
        <v>48</v>
      </c>
      <c r="I123" s="10">
        <f t="shared" si="3"/>
        <v>48</v>
      </c>
      <c r="J123" s="11"/>
      <c r="K123" s="11">
        <v>0</v>
      </c>
      <c r="L123" s="74">
        <f t="shared" si="4"/>
        <v>48</v>
      </c>
      <c r="M123" s="34">
        <f t="shared" si="0"/>
        <v>24.7</v>
      </c>
    </row>
    <row r="124" spans="1:13" ht="15" customHeight="1" x14ac:dyDescent="0.2">
      <c r="A124" s="30" t="s">
        <v>41</v>
      </c>
      <c r="B124" s="31" t="s">
        <v>102</v>
      </c>
      <c r="C124" s="8"/>
      <c r="D124" s="32"/>
      <c r="E124" s="32" t="s">
        <v>281</v>
      </c>
      <c r="F124" s="40">
        <v>1</v>
      </c>
      <c r="G124" s="9">
        <v>24.7</v>
      </c>
      <c r="H124" s="10">
        <v>48</v>
      </c>
      <c r="I124" s="10">
        <f t="shared" si="3"/>
        <v>48</v>
      </c>
      <c r="J124" s="11"/>
      <c r="K124" s="11">
        <v>0</v>
      </c>
      <c r="L124" s="74">
        <f t="shared" si="4"/>
        <v>48</v>
      </c>
      <c r="M124" s="34">
        <f t="shared" si="0"/>
        <v>24.7</v>
      </c>
    </row>
    <row r="125" spans="1:13" ht="15" customHeight="1" x14ac:dyDescent="0.2">
      <c r="A125" s="30" t="s">
        <v>41</v>
      </c>
      <c r="B125" s="31" t="s">
        <v>103</v>
      </c>
      <c r="C125" s="8"/>
      <c r="D125" s="32"/>
      <c r="E125" s="32" t="s">
        <v>282</v>
      </c>
      <c r="F125" s="40">
        <v>1</v>
      </c>
      <c r="G125" s="9">
        <v>83.2</v>
      </c>
      <c r="H125" s="10">
        <v>128</v>
      </c>
      <c r="I125" s="10">
        <f t="shared" si="3"/>
        <v>128</v>
      </c>
      <c r="J125" s="11"/>
      <c r="K125" s="11">
        <v>0</v>
      </c>
      <c r="L125" s="74">
        <f t="shared" si="4"/>
        <v>128</v>
      </c>
      <c r="M125" s="34">
        <f t="shared" si="0"/>
        <v>83.2</v>
      </c>
    </row>
    <row r="126" spans="1:13" ht="15" customHeight="1" x14ac:dyDescent="0.2">
      <c r="A126" s="30" t="s">
        <v>41</v>
      </c>
      <c r="B126" s="31" t="s">
        <v>50</v>
      </c>
      <c r="C126" s="8"/>
      <c r="D126" s="32" t="s">
        <v>177</v>
      </c>
      <c r="E126" s="32" t="s">
        <v>229</v>
      </c>
      <c r="F126" s="40">
        <v>5</v>
      </c>
      <c r="G126" s="9">
        <v>44.2</v>
      </c>
      <c r="H126" s="10">
        <v>78</v>
      </c>
      <c r="I126" s="10">
        <f t="shared" si="3"/>
        <v>390</v>
      </c>
      <c r="J126" s="11"/>
      <c r="K126" s="11">
        <v>0</v>
      </c>
      <c r="L126" s="74">
        <f t="shared" si="4"/>
        <v>390</v>
      </c>
      <c r="M126" s="34">
        <f t="shared" si="0"/>
        <v>221</v>
      </c>
    </row>
    <row r="127" spans="1:13" ht="15" customHeight="1" x14ac:dyDescent="0.2">
      <c r="A127" s="30" t="s">
        <v>41</v>
      </c>
      <c r="B127" s="31" t="s">
        <v>49</v>
      </c>
      <c r="C127" s="8"/>
      <c r="D127" s="32"/>
      <c r="E127" s="32" t="s">
        <v>228</v>
      </c>
      <c r="F127" s="40">
        <v>3</v>
      </c>
      <c r="G127" s="9">
        <v>58</v>
      </c>
      <c r="H127" s="10">
        <v>88</v>
      </c>
      <c r="I127" s="10">
        <f t="shared" si="3"/>
        <v>264</v>
      </c>
      <c r="J127" s="11"/>
      <c r="K127" s="11">
        <v>0</v>
      </c>
      <c r="L127" s="74">
        <f t="shared" si="4"/>
        <v>264</v>
      </c>
      <c r="M127" s="34">
        <f t="shared" si="0"/>
        <v>174</v>
      </c>
    </row>
    <row r="128" spans="1:13" ht="15" customHeight="1" x14ac:dyDescent="0.2">
      <c r="A128" s="30" t="s">
        <v>41</v>
      </c>
      <c r="B128" s="31" t="s">
        <v>63</v>
      </c>
      <c r="C128" s="8"/>
      <c r="D128" s="32"/>
      <c r="E128" s="32" t="s">
        <v>242</v>
      </c>
      <c r="F128" s="40">
        <v>1</v>
      </c>
      <c r="G128" s="9">
        <v>5</v>
      </c>
      <c r="H128" s="10">
        <v>10</v>
      </c>
      <c r="I128" s="10">
        <f t="shared" si="3"/>
        <v>10</v>
      </c>
      <c r="J128" s="11"/>
      <c r="K128" s="11">
        <v>6</v>
      </c>
      <c r="L128" s="74">
        <f t="shared" si="4"/>
        <v>4</v>
      </c>
      <c r="M128" s="34">
        <f t="shared" si="0"/>
        <v>5</v>
      </c>
    </row>
    <row r="129" spans="1:13" ht="15" customHeight="1" x14ac:dyDescent="0.2">
      <c r="A129" s="30" t="s">
        <v>41</v>
      </c>
      <c r="B129" s="31" t="s">
        <v>82</v>
      </c>
      <c r="C129" s="8"/>
      <c r="D129" s="32" t="s">
        <v>178</v>
      </c>
      <c r="E129" s="32" t="s">
        <v>261</v>
      </c>
      <c r="F129" s="40">
        <v>1</v>
      </c>
      <c r="G129" s="9">
        <v>158</v>
      </c>
      <c r="H129" s="10">
        <v>258</v>
      </c>
      <c r="I129" s="10">
        <f t="shared" si="3"/>
        <v>258</v>
      </c>
      <c r="J129" s="11"/>
      <c r="K129" s="11">
        <v>0</v>
      </c>
      <c r="L129" s="74">
        <f t="shared" si="4"/>
        <v>258</v>
      </c>
      <c r="M129" s="34">
        <f t="shared" si="0"/>
        <v>158</v>
      </c>
    </row>
    <row r="130" spans="1:13" ht="15" customHeight="1" x14ac:dyDescent="0.2">
      <c r="A130" s="30" t="s">
        <v>41</v>
      </c>
      <c r="B130" s="31" t="s">
        <v>94</v>
      </c>
      <c r="C130" s="8"/>
      <c r="D130" s="32" t="s">
        <v>179</v>
      </c>
      <c r="E130" s="32" t="s">
        <v>273</v>
      </c>
      <c r="F130" s="40">
        <v>1</v>
      </c>
      <c r="G130" s="9">
        <v>291.2</v>
      </c>
      <c r="H130" s="10">
        <v>448</v>
      </c>
      <c r="I130" s="10">
        <f t="shared" si="3"/>
        <v>448</v>
      </c>
      <c r="J130" s="11"/>
      <c r="K130" s="11">
        <v>0</v>
      </c>
      <c r="L130" s="74">
        <f t="shared" si="4"/>
        <v>448</v>
      </c>
      <c r="M130" s="34">
        <f t="shared" si="0"/>
        <v>291.2</v>
      </c>
    </row>
    <row r="131" spans="1:13" ht="15" customHeight="1" x14ac:dyDescent="0.2">
      <c r="A131" s="30" t="s">
        <v>42</v>
      </c>
      <c r="B131" s="31" t="s">
        <v>49</v>
      </c>
      <c r="C131" s="8"/>
      <c r="D131" s="32" t="s">
        <v>180</v>
      </c>
      <c r="E131" s="32" t="s">
        <v>228</v>
      </c>
      <c r="F131" s="40">
        <v>1</v>
      </c>
      <c r="G131" s="9">
        <v>58</v>
      </c>
      <c r="H131" s="10">
        <v>88</v>
      </c>
      <c r="I131" s="10">
        <f t="shared" si="3"/>
        <v>88</v>
      </c>
      <c r="J131" s="11"/>
      <c r="K131" s="11">
        <v>0</v>
      </c>
      <c r="L131" s="74">
        <f t="shared" si="4"/>
        <v>88</v>
      </c>
      <c r="M131" s="34">
        <f t="shared" si="0"/>
        <v>58</v>
      </c>
    </row>
    <row r="132" spans="1:13" ht="15" customHeight="1" x14ac:dyDescent="0.2">
      <c r="A132" s="30" t="s">
        <v>42</v>
      </c>
      <c r="B132" s="31" t="s">
        <v>104</v>
      </c>
      <c r="C132" s="8"/>
      <c r="D132" s="32"/>
      <c r="E132" s="32" t="s">
        <v>283</v>
      </c>
      <c r="F132" s="40">
        <v>1</v>
      </c>
      <c r="G132" s="9">
        <v>28</v>
      </c>
      <c r="H132" s="10">
        <v>48</v>
      </c>
      <c r="I132" s="10">
        <f t="shared" si="3"/>
        <v>48</v>
      </c>
      <c r="J132" s="11"/>
      <c r="K132" s="11">
        <v>0</v>
      </c>
      <c r="L132" s="74">
        <f t="shared" si="4"/>
        <v>48</v>
      </c>
      <c r="M132" s="34">
        <f t="shared" si="0"/>
        <v>28</v>
      </c>
    </row>
    <row r="133" spans="1:13" ht="15" customHeight="1" x14ac:dyDescent="0.2">
      <c r="A133" s="30" t="s">
        <v>42</v>
      </c>
      <c r="B133" s="31" t="s">
        <v>105</v>
      </c>
      <c r="C133" s="8"/>
      <c r="D133" s="32"/>
      <c r="E133" s="32" t="s">
        <v>284</v>
      </c>
      <c r="F133" s="40">
        <v>1</v>
      </c>
      <c r="G133" s="9">
        <v>83.2</v>
      </c>
      <c r="H133" s="10">
        <v>128</v>
      </c>
      <c r="I133" s="10">
        <f t="shared" si="3"/>
        <v>128</v>
      </c>
      <c r="J133" s="11"/>
      <c r="K133" s="11">
        <v>0</v>
      </c>
      <c r="L133" s="74">
        <f t="shared" si="4"/>
        <v>128</v>
      </c>
      <c r="M133" s="34">
        <f t="shared" si="0"/>
        <v>83.2</v>
      </c>
    </row>
    <row r="134" spans="1:13" ht="15" customHeight="1" x14ac:dyDescent="0.2">
      <c r="A134" s="30" t="s">
        <v>42</v>
      </c>
      <c r="B134" s="31" t="s">
        <v>106</v>
      </c>
      <c r="C134" s="8"/>
      <c r="D134" s="32" t="s">
        <v>181</v>
      </c>
      <c r="E134" s="32" t="s">
        <v>285</v>
      </c>
      <c r="F134" s="40">
        <v>1</v>
      </c>
      <c r="G134" s="9">
        <v>187.2</v>
      </c>
      <c r="H134" s="10">
        <v>288</v>
      </c>
      <c r="I134" s="10">
        <f t="shared" si="3"/>
        <v>288</v>
      </c>
      <c r="J134" s="11"/>
      <c r="K134" s="11">
        <v>0</v>
      </c>
      <c r="L134" s="74">
        <f t="shared" si="4"/>
        <v>288</v>
      </c>
      <c r="M134" s="34">
        <f t="shared" si="0"/>
        <v>187.2</v>
      </c>
    </row>
    <row r="135" spans="1:13" ht="15" customHeight="1" x14ac:dyDescent="0.2">
      <c r="A135" s="30" t="s">
        <v>42</v>
      </c>
      <c r="B135" s="31" t="s">
        <v>107</v>
      </c>
      <c r="C135" s="8"/>
      <c r="D135" s="32"/>
      <c r="E135" s="32" t="s">
        <v>286</v>
      </c>
      <c r="F135" s="40">
        <v>1</v>
      </c>
      <c r="G135" s="9">
        <v>187.2</v>
      </c>
      <c r="H135" s="10">
        <v>288</v>
      </c>
      <c r="I135" s="10">
        <f t="shared" ref="I135:I198" si="5">F135*H135</f>
        <v>288</v>
      </c>
      <c r="J135" s="11"/>
      <c r="K135" s="11">
        <v>0</v>
      </c>
      <c r="L135" s="74">
        <f t="shared" ref="L135:L198" si="6">I135-K135</f>
        <v>288</v>
      </c>
      <c r="M135" s="34">
        <f t="shared" si="0"/>
        <v>187.2</v>
      </c>
    </row>
    <row r="136" spans="1:13" ht="15" customHeight="1" x14ac:dyDescent="0.2">
      <c r="A136" s="30" t="s">
        <v>42</v>
      </c>
      <c r="B136" s="31" t="s">
        <v>57</v>
      </c>
      <c r="C136" s="8"/>
      <c r="D136" s="32"/>
      <c r="E136" s="32" t="s">
        <v>236</v>
      </c>
      <c r="F136" s="40">
        <v>1</v>
      </c>
      <c r="G136" s="9">
        <v>187.2</v>
      </c>
      <c r="H136" s="10">
        <v>288</v>
      </c>
      <c r="I136" s="10">
        <f t="shared" si="5"/>
        <v>288</v>
      </c>
      <c r="J136" s="11"/>
      <c r="K136" s="11">
        <v>0</v>
      </c>
      <c r="L136" s="74">
        <f t="shared" si="6"/>
        <v>288</v>
      </c>
      <c r="M136" s="34">
        <f t="shared" si="0"/>
        <v>187.2</v>
      </c>
    </row>
    <row r="137" spans="1:13" ht="15" customHeight="1" x14ac:dyDescent="0.2">
      <c r="A137" s="30" t="s">
        <v>42</v>
      </c>
      <c r="B137" s="31" t="s">
        <v>77</v>
      </c>
      <c r="C137" s="8"/>
      <c r="D137" s="32" t="s">
        <v>182</v>
      </c>
      <c r="E137" s="32" t="s">
        <v>256</v>
      </c>
      <c r="F137" s="40">
        <v>1</v>
      </c>
      <c r="G137" s="9">
        <v>102.7</v>
      </c>
      <c r="H137" s="10">
        <v>248</v>
      </c>
      <c r="I137" s="10">
        <f t="shared" si="5"/>
        <v>248</v>
      </c>
      <c r="J137" s="11"/>
      <c r="K137" s="11">
        <v>0</v>
      </c>
      <c r="L137" s="74">
        <f t="shared" si="6"/>
        <v>248</v>
      </c>
      <c r="M137" s="34">
        <f t="shared" si="0"/>
        <v>102.7</v>
      </c>
    </row>
    <row r="138" spans="1:13" ht="15" customHeight="1" x14ac:dyDescent="0.2">
      <c r="A138" s="30" t="s">
        <v>42</v>
      </c>
      <c r="B138" s="31" t="s">
        <v>61</v>
      </c>
      <c r="C138" s="8"/>
      <c r="D138" s="32"/>
      <c r="E138" s="32" t="s">
        <v>240</v>
      </c>
      <c r="F138" s="40">
        <v>1</v>
      </c>
      <c r="G138" s="9">
        <v>323.7</v>
      </c>
      <c r="H138" s="10">
        <v>698</v>
      </c>
      <c r="I138" s="10">
        <f t="shared" si="5"/>
        <v>698</v>
      </c>
      <c r="J138" s="11"/>
      <c r="K138" s="11">
        <v>0</v>
      </c>
      <c r="L138" s="74">
        <f t="shared" si="6"/>
        <v>698</v>
      </c>
      <c r="M138" s="34">
        <f t="shared" si="0"/>
        <v>323.7</v>
      </c>
    </row>
    <row r="139" spans="1:13" ht="15" customHeight="1" x14ac:dyDescent="0.2">
      <c r="A139" s="30" t="s">
        <v>42</v>
      </c>
      <c r="B139" s="31" t="s">
        <v>77</v>
      </c>
      <c r="C139" s="8"/>
      <c r="D139" s="32" t="s">
        <v>183</v>
      </c>
      <c r="E139" s="32" t="s">
        <v>256</v>
      </c>
      <c r="F139" s="40">
        <v>1</v>
      </c>
      <c r="G139" s="9">
        <v>102.7</v>
      </c>
      <c r="H139" s="10">
        <v>248</v>
      </c>
      <c r="I139" s="10">
        <f t="shared" si="5"/>
        <v>248</v>
      </c>
      <c r="J139" s="11"/>
      <c r="K139" s="11">
        <v>0</v>
      </c>
      <c r="L139" s="74">
        <f t="shared" si="6"/>
        <v>248</v>
      </c>
      <c r="M139" s="34">
        <f t="shared" si="0"/>
        <v>102.7</v>
      </c>
    </row>
    <row r="140" spans="1:13" ht="15" customHeight="1" x14ac:dyDescent="0.2">
      <c r="A140" s="30" t="s">
        <v>42</v>
      </c>
      <c r="B140" s="31" t="s">
        <v>48</v>
      </c>
      <c r="C140" s="8"/>
      <c r="D140" s="32"/>
      <c r="E140" s="32" t="s">
        <v>227</v>
      </c>
      <c r="F140" s="40">
        <v>2</v>
      </c>
      <c r="G140" s="9">
        <v>13</v>
      </c>
      <c r="H140" s="10">
        <v>20</v>
      </c>
      <c r="I140" s="10">
        <f t="shared" si="5"/>
        <v>40</v>
      </c>
      <c r="J140" s="11"/>
      <c r="K140" s="11">
        <v>0</v>
      </c>
      <c r="L140" s="74">
        <f t="shared" si="6"/>
        <v>40</v>
      </c>
      <c r="M140" s="34">
        <f t="shared" si="0"/>
        <v>26</v>
      </c>
    </row>
    <row r="141" spans="1:13" ht="15" customHeight="1" x14ac:dyDescent="0.2">
      <c r="A141" s="30" t="s">
        <v>42</v>
      </c>
      <c r="B141" s="31" t="s">
        <v>47</v>
      </c>
      <c r="C141" s="8"/>
      <c r="D141" s="32"/>
      <c r="E141" s="32" t="s">
        <v>226</v>
      </c>
      <c r="F141" s="40">
        <v>1</v>
      </c>
      <c r="G141" s="9">
        <v>115.7</v>
      </c>
      <c r="H141" s="10">
        <v>188</v>
      </c>
      <c r="I141" s="10">
        <f t="shared" si="5"/>
        <v>188</v>
      </c>
      <c r="J141" s="11"/>
      <c r="K141" s="11">
        <v>23</v>
      </c>
      <c r="L141" s="74">
        <f t="shared" si="6"/>
        <v>165</v>
      </c>
      <c r="M141" s="34">
        <f t="shared" si="0"/>
        <v>115.7</v>
      </c>
    </row>
    <row r="142" spans="1:13" ht="15" customHeight="1" x14ac:dyDescent="0.2">
      <c r="A142" s="30" t="s">
        <v>42</v>
      </c>
      <c r="B142" s="31" t="s">
        <v>90</v>
      </c>
      <c r="C142" s="8"/>
      <c r="D142" s="32" t="s">
        <v>184</v>
      </c>
      <c r="E142" s="32" t="s">
        <v>269</v>
      </c>
      <c r="F142" s="40">
        <v>1</v>
      </c>
      <c r="G142" s="9">
        <v>421.2</v>
      </c>
      <c r="H142" s="10">
        <v>648</v>
      </c>
      <c r="I142" s="10">
        <f t="shared" si="5"/>
        <v>648</v>
      </c>
      <c r="J142" s="11"/>
      <c r="K142" s="11">
        <v>0</v>
      </c>
      <c r="L142" s="74">
        <f t="shared" si="6"/>
        <v>648</v>
      </c>
      <c r="M142" s="34">
        <f t="shared" si="0"/>
        <v>421.2</v>
      </c>
    </row>
    <row r="143" spans="1:13" ht="15" customHeight="1" x14ac:dyDescent="0.2">
      <c r="A143" s="30" t="s">
        <v>42</v>
      </c>
      <c r="B143" s="31" t="s">
        <v>81</v>
      </c>
      <c r="C143" s="8"/>
      <c r="D143" s="32" t="s">
        <v>185</v>
      </c>
      <c r="E143" s="32" t="s">
        <v>260</v>
      </c>
      <c r="F143" s="40">
        <v>1</v>
      </c>
      <c r="G143" s="9">
        <v>115.7</v>
      </c>
      <c r="H143" s="10">
        <v>298</v>
      </c>
      <c r="I143" s="10">
        <f t="shared" si="5"/>
        <v>298</v>
      </c>
      <c r="J143" s="11"/>
      <c r="K143" s="11">
        <v>0</v>
      </c>
      <c r="L143" s="74">
        <f t="shared" si="6"/>
        <v>298</v>
      </c>
      <c r="M143" s="34">
        <f t="shared" si="0"/>
        <v>115.7</v>
      </c>
    </row>
    <row r="144" spans="1:13" ht="15" customHeight="1" x14ac:dyDescent="0.2">
      <c r="A144" s="30" t="s">
        <v>42</v>
      </c>
      <c r="B144" s="31" t="s">
        <v>108</v>
      </c>
      <c r="C144" s="8"/>
      <c r="D144" s="32"/>
      <c r="E144" s="32" t="s">
        <v>287</v>
      </c>
      <c r="F144" s="40">
        <v>1</v>
      </c>
      <c r="G144" s="9">
        <v>122.2</v>
      </c>
      <c r="H144" s="10">
        <v>248</v>
      </c>
      <c r="I144" s="10">
        <f t="shared" si="5"/>
        <v>248</v>
      </c>
      <c r="J144" s="11"/>
      <c r="K144" s="11">
        <v>0</v>
      </c>
      <c r="L144" s="74">
        <f t="shared" si="6"/>
        <v>248</v>
      </c>
      <c r="M144" s="34">
        <f t="shared" si="0"/>
        <v>122.2</v>
      </c>
    </row>
    <row r="145" spans="1:13" ht="15" customHeight="1" x14ac:dyDescent="0.2">
      <c r="A145" s="30" t="s">
        <v>42</v>
      </c>
      <c r="B145" s="31" t="s">
        <v>77</v>
      </c>
      <c r="C145" s="8"/>
      <c r="D145" s="32"/>
      <c r="E145" s="32" t="s">
        <v>256</v>
      </c>
      <c r="F145" s="40">
        <v>2</v>
      </c>
      <c r="G145" s="9">
        <v>102.7</v>
      </c>
      <c r="H145" s="10">
        <v>248</v>
      </c>
      <c r="I145" s="10">
        <f t="shared" si="5"/>
        <v>496</v>
      </c>
      <c r="J145" s="11"/>
      <c r="K145" s="11">
        <v>0</v>
      </c>
      <c r="L145" s="74">
        <f t="shared" si="6"/>
        <v>496</v>
      </c>
      <c r="M145" s="34">
        <f t="shared" si="0"/>
        <v>205.4</v>
      </c>
    </row>
    <row r="146" spans="1:13" ht="15" customHeight="1" x14ac:dyDescent="0.2">
      <c r="A146" s="30" t="s">
        <v>42</v>
      </c>
      <c r="B146" s="31" t="s">
        <v>47</v>
      </c>
      <c r="C146" s="8"/>
      <c r="D146" s="32"/>
      <c r="E146" s="32" t="s">
        <v>226</v>
      </c>
      <c r="F146" s="40">
        <v>1</v>
      </c>
      <c r="G146" s="9">
        <v>115.7</v>
      </c>
      <c r="H146" s="10">
        <v>188</v>
      </c>
      <c r="I146" s="10">
        <f t="shared" si="5"/>
        <v>188</v>
      </c>
      <c r="J146" s="11"/>
      <c r="K146" s="11">
        <v>0</v>
      </c>
      <c r="L146" s="74">
        <f t="shared" si="6"/>
        <v>188</v>
      </c>
      <c r="M146" s="34">
        <f t="shared" si="0"/>
        <v>115.7</v>
      </c>
    </row>
    <row r="147" spans="1:13" ht="15" customHeight="1" x14ac:dyDescent="0.2">
      <c r="A147" s="30" t="s">
        <v>42</v>
      </c>
      <c r="B147" s="31" t="s">
        <v>97</v>
      </c>
      <c r="C147" s="8"/>
      <c r="D147" s="32"/>
      <c r="E147" s="32" t="s">
        <v>276</v>
      </c>
      <c r="F147" s="40">
        <v>1</v>
      </c>
      <c r="G147" s="9">
        <v>172</v>
      </c>
      <c r="H147" s="10">
        <v>228</v>
      </c>
      <c r="I147" s="10">
        <f t="shared" si="5"/>
        <v>228</v>
      </c>
      <c r="J147" s="11"/>
      <c r="K147" s="11">
        <v>0</v>
      </c>
      <c r="L147" s="74">
        <f t="shared" si="6"/>
        <v>228</v>
      </c>
      <c r="M147" s="34">
        <f t="shared" si="0"/>
        <v>172</v>
      </c>
    </row>
    <row r="148" spans="1:13" ht="15" customHeight="1" x14ac:dyDescent="0.2">
      <c r="A148" s="30" t="s">
        <v>42</v>
      </c>
      <c r="B148" s="31" t="s">
        <v>85</v>
      </c>
      <c r="C148" s="8"/>
      <c r="D148" s="32"/>
      <c r="E148" s="32" t="s">
        <v>264</v>
      </c>
      <c r="F148" s="40">
        <v>1</v>
      </c>
      <c r="G148" s="9">
        <v>83.2</v>
      </c>
      <c r="H148" s="10">
        <v>138</v>
      </c>
      <c r="I148" s="10">
        <f t="shared" si="5"/>
        <v>138</v>
      </c>
      <c r="J148" s="11"/>
      <c r="K148" s="11">
        <v>0</v>
      </c>
      <c r="L148" s="74">
        <f t="shared" si="6"/>
        <v>138</v>
      </c>
      <c r="M148" s="34">
        <f t="shared" si="0"/>
        <v>83.2</v>
      </c>
    </row>
    <row r="149" spans="1:13" ht="15" customHeight="1" x14ac:dyDescent="0.2">
      <c r="A149" s="30" t="s">
        <v>42</v>
      </c>
      <c r="B149" s="31" t="s">
        <v>76</v>
      </c>
      <c r="C149" s="8"/>
      <c r="D149" s="32"/>
      <c r="E149" s="32" t="s">
        <v>255</v>
      </c>
      <c r="F149" s="40">
        <v>3</v>
      </c>
      <c r="G149" s="9">
        <v>50.7</v>
      </c>
      <c r="H149" s="10">
        <v>78</v>
      </c>
      <c r="I149" s="10">
        <f t="shared" si="5"/>
        <v>234</v>
      </c>
      <c r="J149" s="11"/>
      <c r="K149" s="11">
        <v>0</v>
      </c>
      <c r="L149" s="74">
        <f t="shared" si="6"/>
        <v>234</v>
      </c>
      <c r="M149" s="34">
        <f t="shared" si="0"/>
        <v>152.10000000000002</v>
      </c>
    </row>
    <row r="150" spans="1:13" ht="15" customHeight="1" x14ac:dyDescent="0.2">
      <c r="A150" s="30" t="s">
        <v>42</v>
      </c>
      <c r="B150" s="31" t="s">
        <v>52</v>
      </c>
      <c r="C150" s="8"/>
      <c r="D150" s="32"/>
      <c r="E150" s="32" t="s">
        <v>231</v>
      </c>
      <c r="F150" s="40">
        <v>1</v>
      </c>
      <c r="G150" s="9">
        <v>158</v>
      </c>
      <c r="H150" s="10">
        <v>228</v>
      </c>
      <c r="I150" s="10">
        <f t="shared" si="5"/>
        <v>228</v>
      </c>
      <c r="J150" s="11"/>
      <c r="K150" s="11">
        <v>0</v>
      </c>
      <c r="L150" s="74">
        <f t="shared" si="6"/>
        <v>228</v>
      </c>
      <c r="M150" s="34">
        <f t="shared" si="0"/>
        <v>158</v>
      </c>
    </row>
    <row r="151" spans="1:13" ht="15" customHeight="1" x14ac:dyDescent="0.2">
      <c r="A151" s="30" t="s">
        <v>42</v>
      </c>
      <c r="B151" s="31" t="s">
        <v>61</v>
      </c>
      <c r="C151" s="8"/>
      <c r="D151" s="32"/>
      <c r="E151" s="32" t="s">
        <v>240</v>
      </c>
      <c r="F151" s="40">
        <v>1</v>
      </c>
      <c r="G151" s="9">
        <v>323.7</v>
      </c>
      <c r="H151" s="10">
        <v>698</v>
      </c>
      <c r="I151" s="10">
        <f t="shared" si="5"/>
        <v>698</v>
      </c>
      <c r="J151" s="11"/>
      <c r="K151" s="11">
        <v>0</v>
      </c>
      <c r="L151" s="74">
        <f t="shared" si="6"/>
        <v>698</v>
      </c>
      <c r="M151" s="34">
        <f t="shared" si="0"/>
        <v>323.7</v>
      </c>
    </row>
    <row r="152" spans="1:13" ht="15" customHeight="1" x14ac:dyDescent="0.2">
      <c r="A152" s="30" t="s">
        <v>42</v>
      </c>
      <c r="B152" s="31" t="s">
        <v>57</v>
      </c>
      <c r="C152" s="8"/>
      <c r="D152" s="32"/>
      <c r="E152" s="32" t="s">
        <v>236</v>
      </c>
      <c r="F152" s="40">
        <v>1</v>
      </c>
      <c r="G152" s="9">
        <v>187.2</v>
      </c>
      <c r="H152" s="10">
        <v>288</v>
      </c>
      <c r="I152" s="10">
        <f t="shared" si="5"/>
        <v>288</v>
      </c>
      <c r="J152" s="11"/>
      <c r="K152" s="11">
        <v>0</v>
      </c>
      <c r="L152" s="74">
        <f t="shared" si="6"/>
        <v>288</v>
      </c>
      <c r="M152" s="34">
        <f t="shared" si="0"/>
        <v>187.2</v>
      </c>
    </row>
    <row r="153" spans="1:13" ht="15" customHeight="1" x14ac:dyDescent="0.2">
      <c r="A153" s="30" t="s">
        <v>42</v>
      </c>
      <c r="B153" s="31" t="s">
        <v>90</v>
      </c>
      <c r="C153" s="8"/>
      <c r="D153" s="32" t="s">
        <v>186</v>
      </c>
      <c r="E153" s="32" t="s">
        <v>269</v>
      </c>
      <c r="F153" s="40">
        <v>1</v>
      </c>
      <c r="G153" s="9">
        <v>421.2</v>
      </c>
      <c r="H153" s="10">
        <v>648</v>
      </c>
      <c r="I153" s="10">
        <f t="shared" si="5"/>
        <v>648</v>
      </c>
      <c r="J153" s="11"/>
      <c r="K153" s="11">
        <v>0</v>
      </c>
      <c r="L153" s="74">
        <f t="shared" si="6"/>
        <v>648</v>
      </c>
      <c r="M153" s="34">
        <f t="shared" si="0"/>
        <v>421.2</v>
      </c>
    </row>
    <row r="154" spans="1:13" ht="15" customHeight="1" x14ac:dyDescent="0.2">
      <c r="A154" s="30" t="s">
        <v>42</v>
      </c>
      <c r="B154" s="31" t="s">
        <v>109</v>
      </c>
      <c r="C154" s="8"/>
      <c r="D154" s="32"/>
      <c r="E154" s="32" t="s">
        <v>288</v>
      </c>
      <c r="F154" s="40">
        <v>1</v>
      </c>
      <c r="G154" s="9">
        <v>200</v>
      </c>
      <c r="H154" s="10">
        <v>288</v>
      </c>
      <c r="I154" s="10">
        <f t="shared" si="5"/>
        <v>288</v>
      </c>
      <c r="J154" s="11"/>
      <c r="K154" s="11">
        <v>0</v>
      </c>
      <c r="L154" s="74">
        <f t="shared" si="6"/>
        <v>288</v>
      </c>
      <c r="M154" s="34">
        <f t="shared" si="0"/>
        <v>200</v>
      </c>
    </row>
    <row r="155" spans="1:13" ht="15" customHeight="1" x14ac:dyDescent="0.2">
      <c r="A155" s="30" t="s">
        <v>42</v>
      </c>
      <c r="B155" s="31" t="s">
        <v>65</v>
      </c>
      <c r="C155" s="8"/>
      <c r="D155" s="32" t="s">
        <v>187</v>
      </c>
      <c r="E155" s="32" t="s">
        <v>244</v>
      </c>
      <c r="F155" s="40">
        <v>2</v>
      </c>
      <c r="G155" s="9">
        <v>65</v>
      </c>
      <c r="H155" s="10">
        <v>128</v>
      </c>
      <c r="I155" s="10">
        <f t="shared" si="5"/>
        <v>256</v>
      </c>
      <c r="J155" s="11"/>
      <c r="K155" s="11">
        <v>0</v>
      </c>
      <c r="L155" s="74">
        <f t="shared" si="6"/>
        <v>256</v>
      </c>
      <c r="M155" s="34">
        <f t="shared" ref="M155:M218" si="7">F155*G155</f>
        <v>130</v>
      </c>
    </row>
    <row r="156" spans="1:13" ht="15" customHeight="1" x14ac:dyDescent="0.2">
      <c r="A156" s="30" t="s">
        <v>42</v>
      </c>
      <c r="B156" s="31" t="s">
        <v>69</v>
      </c>
      <c r="C156" s="8"/>
      <c r="D156" s="32" t="s">
        <v>188</v>
      </c>
      <c r="E156" s="32" t="s">
        <v>248</v>
      </c>
      <c r="F156" s="40">
        <v>14</v>
      </c>
      <c r="G156" s="9">
        <v>32.5</v>
      </c>
      <c r="H156" s="10">
        <v>60</v>
      </c>
      <c r="I156" s="10">
        <f t="shared" si="5"/>
        <v>840</v>
      </c>
      <c r="J156" s="11"/>
      <c r="K156" s="11">
        <v>0</v>
      </c>
      <c r="L156" s="74">
        <f t="shared" si="6"/>
        <v>840</v>
      </c>
      <c r="M156" s="34">
        <f t="shared" si="7"/>
        <v>455</v>
      </c>
    </row>
    <row r="157" spans="1:13" ht="15" customHeight="1" x14ac:dyDescent="0.2">
      <c r="A157" s="30" t="s">
        <v>42</v>
      </c>
      <c r="B157" s="31" t="s">
        <v>70</v>
      </c>
      <c r="C157" s="8"/>
      <c r="D157" s="32"/>
      <c r="E157" s="32" t="s">
        <v>249</v>
      </c>
      <c r="F157" s="40">
        <v>8</v>
      </c>
      <c r="G157" s="9">
        <v>40</v>
      </c>
      <c r="H157" s="10">
        <v>50</v>
      </c>
      <c r="I157" s="10">
        <f t="shared" si="5"/>
        <v>400</v>
      </c>
      <c r="J157" s="11"/>
      <c r="K157" s="11">
        <v>0</v>
      </c>
      <c r="L157" s="74">
        <f t="shared" si="6"/>
        <v>400</v>
      </c>
      <c r="M157" s="34">
        <f t="shared" si="7"/>
        <v>320</v>
      </c>
    </row>
    <row r="158" spans="1:13" ht="15" customHeight="1" x14ac:dyDescent="0.2">
      <c r="A158" s="30" t="s">
        <v>42</v>
      </c>
      <c r="B158" s="31" t="s">
        <v>73</v>
      </c>
      <c r="C158" s="8"/>
      <c r="D158" s="32"/>
      <c r="E158" s="32" t="s">
        <v>252</v>
      </c>
      <c r="F158" s="40">
        <v>20</v>
      </c>
      <c r="G158" s="9">
        <v>6.5</v>
      </c>
      <c r="H158" s="10">
        <v>10</v>
      </c>
      <c r="I158" s="10">
        <f t="shared" si="5"/>
        <v>200</v>
      </c>
      <c r="J158" s="11"/>
      <c r="K158" s="11">
        <v>0</v>
      </c>
      <c r="L158" s="74">
        <f t="shared" si="6"/>
        <v>200</v>
      </c>
      <c r="M158" s="34">
        <f t="shared" si="7"/>
        <v>130</v>
      </c>
    </row>
    <row r="159" spans="1:13" ht="15" customHeight="1" x14ac:dyDescent="0.2">
      <c r="A159" s="30" t="s">
        <v>42</v>
      </c>
      <c r="B159" s="31" t="s">
        <v>110</v>
      </c>
      <c r="C159" s="8"/>
      <c r="D159" s="32"/>
      <c r="E159" s="32" t="s">
        <v>289</v>
      </c>
      <c r="F159" s="40">
        <v>1</v>
      </c>
      <c r="G159" s="9">
        <v>6.73</v>
      </c>
      <c r="H159" s="10">
        <v>10</v>
      </c>
      <c r="I159" s="10">
        <f t="shared" si="5"/>
        <v>10</v>
      </c>
      <c r="J159" s="11"/>
      <c r="K159" s="11">
        <v>0</v>
      </c>
      <c r="L159" s="74">
        <f t="shared" si="6"/>
        <v>10</v>
      </c>
      <c r="M159" s="34">
        <f t="shared" si="7"/>
        <v>6.73</v>
      </c>
    </row>
    <row r="160" spans="1:13" ht="15" customHeight="1" x14ac:dyDescent="0.2">
      <c r="A160" s="30" t="s">
        <v>42</v>
      </c>
      <c r="B160" s="31" t="s">
        <v>111</v>
      </c>
      <c r="C160" s="8"/>
      <c r="D160" s="32"/>
      <c r="E160" s="32" t="s">
        <v>290</v>
      </c>
      <c r="F160" s="40">
        <v>1</v>
      </c>
      <c r="G160" s="9">
        <v>7.9</v>
      </c>
      <c r="H160" s="10">
        <v>10</v>
      </c>
      <c r="I160" s="10">
        <f t="shared" si="5"/>
        <v>10</v>
      </c>
      <c r="J160" s="11"/>
      <c r="K160" s="11">
        <v>5</v>
      </c>
      <c r="L160" s="74">
        <f t="shared" si="6"/>
        <v>5</v>
      </c>
      <c r="M160" s="34">
        <f t="shared" si="7"/>
        <v>7.9</v>
      </c>
    </row>
    <row r="161" spans="1:13" ht="15" customHeight="1" x14ac:dyDescent="0.2">
      <c r="A161" s="30" t="s">
        <v>43</v>
      </c>
      <c r="B161" s="31" t="s">
        <v>48</v>
      </c>
      <c r="C161" s="8"/>
      <c r="D161" s="32" t="s">
        <v>189</v>
      </c>
      <c r="E161" s="32" t="s">
        <v>227</v>
      </c>
      <c r="F161" s="40">
        <v>2</v>
      </c>
      <c r="G161" s="9">
        <v>13</v>
      </c>
      <c r="H161" s="10">
        <v>20</v>
      </c>
      <c r="I161" s="10">
        <f t="shared" si="5"/>
        <v>40</v>
      </c>
      <c r="J161" s="11"/>
      <c r="K161" s="11">
        <v>0</v>
      </c>
      <c r="L161" s="74">
        <f t="shared" si="6"/>
        <v>40</v>
      </c>
      <c r="M161" s="34">
        <f t="shared" si="7"/>
        <v>26</v>
      </c>
    </row>
    <row r="162" spans="1:13" ht="15" customHeight="1" x14ac:dyDescent="0.2">
      <c r="A162" s="30" t="s">
        <v>43</v>
      </c>
      <c r="B162" s="31" t="s">
        <v>77</v>
      </c>
      <c r="C162" s="8"/>
      <c r="D162" s="32"/>
      <c r="E162" s="32" t="s">
        <v>256</v>
      </c>
      <c r="F162" s="40">
        <v>1</v>
      </c>
      <c r="G162" s="9">
        <v>102.7</v>
      </c>
      <c r="H162" s="10">
        <v>248</v>
      </c>
      <c r="I162" s="10">
        <f t="shared" si="5"/>
        <v>248</v>
      </c>
      <c r="J162" s="11"/>
      <c r="K162" s="11">
        <v>0</v>
      </c>
      <c r="L162" s="74">
        <f t="shared" si="6"/>
        <v>248</v>
      </c>
      <c r="M162" s="34">
        <f t="shared" si="7"/>
        <v>102.7</v>
      </c>
    </row>
    <row r="163" spans="1:13" ht="15" customHeight="1" x14ac:dyDescent="0.2">
      <c r="A163" s="30" t="s">
        <v>43</v>
      </c>
      <c r="B163" s="31" t="s">
        <v>112</v>
      </c>
      <c r="C163" s="8"/>
      <c r="D163" s="32"/>
      <c r="E163" s="32" t="s">
        <v>291</v>
      </c>
      <c r="F163" s="40">
        <v>1</v>
      </c>
      <c r="G163" s="9">
        <v>58</v>
      </c>
      <c r="H163" s="10">
        <v>78</v>
      </c>
      <c r="I163" s="10">
        <f t="shared" si="5"/>
        <v>78</v>
      </c>
      <c r="J163" s="11"/>
      <c r="K163" s="11">
        <v>0</v>
      </c>
      <c r="L163" s="74">
        <f t="shared" si="6"/>
        <v>78</v>
      </c>
      <c r="M163" s="34">
        <f t="shared" si="7"/>
        <v>58</v>
      </c>
    </row>
    <row r="164" spans="1:13" ht="15" customHeight="1" x14ac:dyDescent="0.2">
      <c r="A164" s="30" t="s">
        <v>43</v>
      </c>
      <c r="B164" s="31" t="s">
        <v>63</v>
      </c>
      <c r="C164" s="8"/>
      <c r="D164" s="32"/>
      <c r="E164" s="32" t="s">
        <v>242</v>
      </c>
      <c r="F164" s="40">
        <v>1</v>
      </c>
      <c r="G164" s="9">
        <v>5</v>
      </c>
      <c r="H164" s="10">
        <v>10</v>
      </c>
      <c r="I164" s="10">
        <f t="shared" si="5"/>
        <v>10</v>
      </c>
      <c r="J164" s="11"/>
      <c r="K164" s="11">
        <v>0</v>
      </c>
      <c r="L164" s="74">
        <f t="shared" si="6"/>
        <v>10</v>
      </c>
      <c r="M164" s="34">
        <f t="shared" si="7"/>
        <v>5</v>
      </c>
    </row>
    <row r="165" spans="1:13" ht="15" customHeight="1" x14ac:dyDescent="0.2">
      <c r="A165" s="30" t="s">
        <v>43</v>
      </c>
      <c r="B165" s="31" t="s">
        <v>113</v>
      </c>
      <c r="C165" s="8"/>
      <c r="D165" s="32"/>
      <c r="E165" s="32" t="s">
        <v>292</v>
      </c>
      <c r="F165" s="40">
        <v>1</v>
      </c>
      <c r="G165" s="9">
        <v>63.7</v>
      </c>
      <c r="H165" s="10">
        <v>98</v>
      </c>
      <c r="I165" s="10">
        <f t="shared" si="5"/>
        <v>98</v>
      </c>
      <c r="J165" s="11"/>
      <c r="K165" s="11">
        <v>0</v>
      </c>
      <c r="L165" s="74">
        <f t="shared" si="6"/>
        <v>98</v>
      </c>
      <c r="M165" s="34">
        <f t="shared" si="7"/>
        <v>63.7</v>
      </c>
    </row>
    <row r="166" spans="1:13" ht="15" customHeight="1" x14ac:dyDescent="0.2">
      <c r="A166" s="30" t="s">
        <v>43</v>
      </c>
      <c r="B166" s="31" t="s">
        <v>112</v>
      </c>
      <c r="C166" s="8"/>
      <c r="D166" s="32" t="s">
        <v>190</v>
      </c>
      <c r="E166" s="32" t="s">
        <v>291</v>
      </c>
      <c r="F166" s="40">
        <v>1</v>
      </c>
      <c r="G166" s="9">
        <v>58</v>
      </c>
      <c r="H166" s="10">
        <v>78</v>
      </c>
      <c r="I166" s="10">
        <f t="shared" si="5"/>
        <v>78</v>
      </c>
      <c r="J166" s="11"/>
      <c r="K166" s="11">
        <v>0</v>
      </c>
      <c r="L166" s="74">
        <f t="shared" si="6"/>
        <v>78</v>
      </c>
      <c r="M166" s="34">
        <f t="shared" si="7"/>
        <v>58</v>
      </c>
    </row>
    <row r="167" spans="1:13" ht="15" customHeight="1" x14ac:dyDescent="0.2">
      <c r="A167" s="30" t="s">
        <v>43</v>
      </c>
      <c r="B167" s="31" t="s">
        <v>63</v>
      </c>
      <c r="C167" s="8"/>
      <c r="D167" s="32"/>
      <c r="E167" s="32" t="s">
        <v>242</v>
      </c>
      <c r="F167" s="40">
        <v>1</v>
      </c>
      <c r="G167" s="9">
        <v>5</v>
      </c>
      <c r="H167" s="10">
        <v>10</v>
      </c>
      <c r="I167" s="10">
        <f t="shared" si="5"/>
        <v>10</v>
      </c>
      <c r="J167" s="11"/>
      <c r="K167" s="11">
        <v>0</v>
      </c>
      <c r="L167" s="74">
        <f t="shared" si="6"/>
        <v>10</v>
      </c>
      <c r="M167" s="34">
        <f t="shared" si="7"/>
        <v>5</v>
      </c>
    </row>
    <row r="168" spans="1:13" ht="15" customHeight="1" x14ac:dyDescent="0.2">
      <c r="A168" s="30" t="s">
        <v>43</v>
      </c>
      <c r="B168" s="31" t="s">
        <v>49</v>
      </c>
      <c r="C168" s="8"/>
      <c r="D168" s="32"/>
      <c r="E168" s="32" t="s">
        <v>228</v>
      </c>
      <c r="F168" s="40">
        <v>1</v>
      </c>
      <c r="G168" s="9">
        <v>58</v>
      </c>
      <c r="H168" s="10">
        <v>88</v>
      </c>
      <c r="I168" s="10">
        <f t="shared" si="5"/>
        <v>88</v>
      </c>
      <c r="J168" s="11"/>
      <c r="K168" s="11">
        <v>8</v>
      </c>
      <c r="L168" s="74">
        <f t="shared" si="6"/>
        <v>80</v>
      </c>
      <c r="M168" s="34">
        <f t="shared" si="7"/>
        <v>58</v>
      </c>
    </row>
    <row r="169" spans="1:13" ht="15" customHeight="1" x14ac:dyDescent="0.2">
      <c r="A169" s="30" t="s">
        <v>43</v>
      </c>
      <c r="B169" s="31" t="s">
        <v>114</v>
      </c>
      <c r="C169" s="8"/>
      <c r="D169" s="32" t="s">
        <v>191</v>
      </c>
      <c r="E169" s="32" t="s">
        <v>293</v>
      </c>
      <c r="F169" s="40">
        <v>1</v>
      </c>
      <c r="G169" s="9">
        <v>65621.91</v>
      </c>
      <c r="H169" s="10">
        <v>101500</v>
      </c>
      <c r="I169" s="10">
        <f t="shared" si="5"/>
        <v>101500</v>
      </c>
      <c r="J169" s="11"/>
      <c r="K169" s="11">
        <v>0</v>
      </c>
      <c r="L169" s="74">
        <f t="shared" si="6"/>
        <v>101500</v>
      </c>
      <c r="M169" s="34">
        <f t="shared" si="7"/>
        <v>65621.91</v>
      </c>
    </row>
    <row r="170" spans="1:13" ht="15" customHeight="1" x14ac:dyDescent="0.2">
      <c r="A170" s="30" t="s">
        <v>43</v>
      </c>
      <c r="B170" s="31" t="s">
        <v>50</v>
      </c>
      <c r="C170" s="8"/>
      <c r="D170" s="32" t="s">
        <v>192</v>
      </c>
      <c r="E170" s="32" t="s">
        <v>229</v>
      </c>
      <c r="F170" s="40">
        <v>3</v>
      </c>
      <c r="G170" s="9">
        <v>44.2</v>
      </c>
      <c r="H170" s="10">
        <v>78</v>
      </c>
      <c r="I170" s="10">
        <f t="shared" si="5"/>
        <v>234</v>
      </c>
      <c r="J170" s="11"/>
      <c r="K170" s="11">
        <v>0</v>
      </c>
      <c r="L170" s="74">
        <f t="shared" si="6"/>
        <v>234</v>
      </c>
      <c r="M170" s="34">
        <f t="shared" si="7"/>
        <v>132.60000000000002</v>
      </c>
    </row>
    <row r="171" spans="1:13" ht="15" customHeight="1" x14ac:dyDescent="0.2">
      <c r="A171" s="30" t="s">
        <v>43</v>
      </c>
      <c r="B171" s="31" t="s">
        <v>76</v>
      </c>
      <c r="C171" s="8"/>
      <c r="D171" s="32"/>
      <c r="E171" s="32" t="s">
        <v>255</v>
      </c>
      <c r="F171" s="40">
        <v>2</v>
      </c>
      <c r="G171" s="9">
        <v>50.7</v>
      </c>
      <c r="H171" s="10">
        <v>78</v>
      </c>
      <c r="I171" s="10">
        <f t="shared" si="5"/>
        <v>156</v>
      </c>
      <c r="J171" s="11"/>
      <c r="K171" s="11">
        <v>0</v>
      </c>
      <c r="L171" s="74">
        <f t="shared" si="6"/>
        <v>156</v>
      </c>
      <c r="M171" s="34">
        <f t="shared" si="7"/>
        <v>101.4</v>
      </c>
    </row>
    <row r="172" spans="1:13" ht="15" customHeight="1" x14ac:dyDescent="0.2">
      <c r="A172" s="30" t="s">
        <v>43</v>
      </c>
      <c r="B172" s="31" t="s">
        <v>95</v>
      </c>
      <c r="C172" s="8"/>
      <c r="D172" s="32"/>
      <c r="E172" s="32" t="s">
        <v>274</v>
      </c>
      <c r="F172" s="40">
        <v>1</v>
      </c>
      <c r="G172" s="9">
        <v>160</v>
      </c>
      <c r="H172" s="10">
        <v>228</v>
      </c>
      <c r="I172" s="10">
        <f t="shared" si="5"/>
        <v>228</v>
      </c>
      <c r="J172" s="11"/>
      <c r="K172" s="11">
        <v>0</v>
      </c>
      <c r="L172" s="74">
        <f t="shared" si="6"/>
        <v>228</v>
      </c>
      <c r="M172" s="34">
        <f t="shared" si="7"/>
        <v>160</v>
      </c>
    </row>
    <row r="173" spans="1:13" ht="15" customHeight="1" x14ac:dyDescent="0.2">
      <c r="A173" s="30" t="s">
        <v>43</v>
      </c>
      <c r="B173" s="31" t="s">
        <v>62</v>
      </c>
      <c r="C173" s="8"/>
      <c r="D173" s="32"/>
      <c r="E173" s="32" t="s">
        <v>241</v>
      </c>
      <c r="F173" s="40">
        <v>1</v>
      </c>
      <c r="G173" s="9">
        <v>188</v>
      </c>
      <c r="H173" s="10">
        <v>188</v>
      </c>
      <c r="I173" s="10">
        <f t="shared" si="5"/>
        <v>188</v>
      </c>
      <c r="J173" s="11"/>
      <c r="K173" s="11">
        <v>0</v>
      </c>
      <c r="L173" s="74">
        <f t="shared" si="6"/>
        <v>188</v>
      </c>
      <c r="M173" s="34">
        <f t="shared" si="7"/>
        <v>188</v>
      </c>
    </row>
    <row r="174" spans="1:13" ht="15" customHeight="1" x14ac:dyDescent="0.2">
      <c r="A174" s="30" t="s">
        <v>43</v>
      </c>
      <c r="B174" s="31" t="s">
        <v>115</v>
      </c>
      <c r="C174" s="8"/>
      <c r="D174" s="32"/>
      <c r="E174" s="32" t="s">
        <v>294</v>
      </c>
      <c r="F174" s="40">
        <v>1</v>
      </c>
      <c r="G174" s="9">
        <v>147</v>
      </c>
      <c r="H174" s="10">
        <v>298</v>
      </c>
      <c r="I174" s="10">
        <f t="shared" si="5"/>
        <v>298</v>
      </c>
      <c r="J174" s="11"/>
      <c r="K174" s="11">
        <v>0</v>
      </c>
      <c r="L174" s="74">
        <f t="shared" si="6"/>
        <v>298</v>
      </c>
      <c r="M174" s="34">
        <f t="shared" si="7"/>
        <v>147</v>
      </c>
    </row>
    <row r="175" spans="1:13" ht="15" customHeight="1" x14ac:dyDescent="0.2">
      <c r="A175" s="30" t="s">
        <v>43</v>
      </c>
      <c r="B175" s="31" t="s">
        <v>69</v>
      </c>
      <c r="C175" s="8"/>
      <c r="D175" s="32" t="s">
        <v>193</v>
      </c>
      <c r="E175" s="32" t="s">
        <v>248</v>
      </c>
      <c r="F175" s="40">
        <v>10</v>
      </c>
      <c r="G175" s="9">
        <v>32.5</v>
      </c>
      <c r="H175" s="10">
        <v>60</v>
      </c>
      <c r="I175" s="10">
        <f t="shared" si="5"/>
        <v>600</v>
      </c>
      <c r="J175" s="11"/>
      <c r="K175" s="11">
        <v>0</v>
      </c>
      <c r="L175" s="74">
        <f t="shared" si="6"/>
        <v>600</v>
      </c>
      <c r="M175" s="34">
        <f t="shared" si="7"/>
        <v>325</v>
      </c>
    </row>
    <row r="176" spans="1:13" ht="15" customHeight="1" x14ac:dyDescent="0.2">
      <c r="A176" s="30" t="s">
        <v>43</v>
      </c>
      <c r="B176" s="31" t="s">
        <v>70</v>
      </c>
      <c r="C176" s="8"/>
      <c r="D176" s="32"/>
      <c r="E176" s="32" t="s">
        <v>249</v>
      </c>
      <c r="F176" s="40">
        <v>18</v>
      </c>
      <c r="G176" s="9">
        <v>40</v>
      </c>
      <c r="H176" s="10">
        <v>50</v>
      </c>
      <c r="I176" s="10">
        <f t="shared" si="5"/>
        <v>900</v>
      </c>
      <c r="J176" s="11"/>
      <c r="K176" s="11">
        <v>0</v>
      </c>
      <c r="L176" s="74">
        <f t="shared" si="6"/>
        <v>900</v>
      </c>
      <c r="M176" s="34">
        <f t="shared" si="7"/>
        <v>720</v>
      </c>
    </row>
    <row r="177" spans="1:13" ht="15" customHeight="1" x14ac:dyDescent="0.2">
      <c r="A177" s="30" t="s">
        <v>43</v>
      </c>
      <c r="B177" s="31" t="s">
        <v>48</v>
      </c>
      <c r="C177" s="8"/>
      <c r="D177" s="32"/>
      <c r="E177" s="32" t="s">
        <v>227</v>
      </c>
      <c r="F177" s="40">
        <v>7</v>
      </c>
      <c r="G177" s="9">
        <v>13</v>
      </c>
      <c r="H177" s="10">
        <v>20</v>
      </c>
      <c r="I177" s="10">
        <f t="shared" si="5"/>
        <v>140</v>
      </c>
      <c r="J177" s="11"/>
      <c r="K177" s="11">
        <v>0</v>
      </c>
      <c r="L177" s="74">
        <f t="shared" si="6"/>
        <v>140</v>
      </c>
      <c r="M177" s="34">
        <f t="shared" si="7"/>
        <v>91</v>
      </c>
    </row>
    <row r="178" spans="1:13" ht="15" customHeight="1" x14ac:dyDescent="0.2">
      <c r="A178" s="30" t="s">
        <v>43</v>
      </c>
      <c r="B178" s="31" t="s">
        <v>73</v>
      </c>
      <c r="C178" s="8"/>
      <c r="D178" s="32"/>
      <c r="E178" s="32" t="s">
        <v>252</v>
      </c>
      <c r="F178" s="40">
        <v>13</v>
      </c>
      <c r="G178" s="9">
        <v>6.5</v>
      </c>
      <c r="H178" s="10">
        <v>10</v>
      </c>
      <c r="I178" s="10">
        <f t="shared" si="5"/>
        <v>130</v>
      </c>
      <c r="J178" s="11"/>
      <c r="K178" s="11">
        <v>5</v>
      </c>
      <c r="L178" s="74">
        <f t="shared" si="6"/>
        <v>125</v>
      </c>
      <c r="M178" s="34">
        <f t="shared" si="7"/>
        <v>84.5</v>
      </c>
    </row>
    <row r="179" spans="1:13" ht="15" customHeight="1" x14ac:dyDescent="0.2">
      <c r="A179" s="30" t="s">
        <v>43</v>
      </c>
      <c r="B179" s="31" t="s">
        <v>116</v>
      </c>
      <c r="C179" s="8"/>
      <c r="D179" s="32"/>
      <c r="E179" s="32" t="s">
        <v>295</v>
      </c>
      <c r="F179" s="40">
        <v>8</v>
      </c>
      <c r="G179" s="9">
        <v>15.26</v>
      </c>
      <c r="H179" s="10">
        <v>30</v>
      </c>
      <c r="I179" s="10">
        <f t="shared" si="5"/>
        <v>240</v>
      </c>
      <c r="J179" s="11"/>
      <c r="K179" s="11">
        <v>15</v>
      </c>
      <c r="L179" s="74">
        <f t="shared" si="6"/>
        <v>225</v>
      </c>
      <c r="M179" s="34">
        <f t="shared" si="7"/>
        <v>122.08</v>
      </c>
    </row>
    <row r="180" spans="1:13" ht="15" customHeight="1" x14ac:dyDescent="0.2">
      <c r="A180" s="30" t="s">
        <v>44</v>
      </c>
      <c r="B180" s="31" t="s">
        <v>117</v>
      </c>
      <c r="C180" s="8"/>
      <c r="D180" s="32" t="s">
        <v>194</v>
      </c>
      <c r="E180" s="32" t="s">
        <v>296</v>
      </c>
      <c r="F180" s="40">
        <v>1</v>
      </c>
      <c r="G180" s="9">
        <v>291.2</v>
      </c>
      <c r="H180" s="10">
        <v>448</v>
      </c>
      <c r="I180" s="10">
        <f t="shared" si="5"/>
        <v>448</v>
      </c>
      <c r="J180" s="11"/>
      <c r="K180" s="11">
        <v>0</v>
      </c>
      <c r="L180" s="74">
        <f t="shared" si="6"/>
        <v>448</v>
      </c>
      <c r="M180" s="34">
        <f t="shared" si="7"/>
        <v>291.2</v>
      </c>
    </row>
    <row r="181" spans="1:13" ht="15" customHeight="1" x14ac:dyDescent="0.2">
      <c r="A181" s="30" t="s">
        <v>44</v>
      </c>
      <c r="B181" s="31" t="s">
        <v>82</v>
      </c>
      <c r="C181" s="8"/>
      <c r="D181" s="32" t="s">
        <v>195</v>
      </c>
      <c r="E181" s="32" t="s">
        <v>261</v>
      </c>
      <c r="F181" s="40">
        <v>1</v>
      </c>
      <c r="G181" s="9">
        <v>158</v>
      </c>
      <c r="H181" s="10">
        <v>258</v>
      </c>
      <c r="I181" s="10">
        <f t="shared" si="5"/>
        <v>258</v>
      </c>
      <c r="J181" s="11"/>
      <c r="K181" s="11">
        <v>0</v>
      </c>
      <c r="L181" s="74">
        <f t="shared" si="6"/>
        <v>258</v>
      </c>
      <c r="M181" s="34">
        <f t="shared" si="7"/>
        <v>158</v>
      </c>
    </row>
    <row r="182" spans="1:13" ht="15" customHeight="1" x14ac:dyDescent="0.2">
      <c r="A182" s="30" t="s">
        <v>44</v>
      </c>
      <c r="B182" s="31" t="s">
        <v>77</v>
      </c>
      <c r="C182" s="8"/>
      <c r="D182" s="32"/>
      <c r="E182" s="32" t="s">
        <v>256</v>
      </c>
      <c r="F182" s="40">
        <v>1</v>
      </c>
      <c r="G182" s="9">
        <v>102.7</v>
      </c>
      <c r="H182" s="10">
        <v>248</v>
      </c>
      <c r="I182" s="10">
        <f t="shared" si="5"/>
        <v>248</v>
      </c>
      <c r="J182" s="11"/>
      <c r="K182" s="11">
        <v>0</v>
      </c>
      <c r="L182" s="74">
        <f t="shared" si="6"/>
        <v>248</v>
      </c>
      <c r="M182" s="34">
        <f t="shared" si="7"/>
        <v>102.7</v>
      </c>
    </row>
    <row r="183" spans="1:13" ht="15" customHeight="1" x14ac:dyDescent="0.2">
      <c r="A183" s="30" t="s">
        <v>44</v>
      </c>
      <c r="B183" s="31" t="s">
        <v>112</v>
      </c>
      <c r="C183" s="8"/>
      <c r="D183" s="32" t="s">
        <v>196</v>
      </c>
      <c r="E183" s="32" t="s">
        <v>291</v>
      </c>
      <c r="F183" s="40">
        <v>1</v>
      </c>
      <c r="G183" s="9">
        <v>58</v>
      </c>
      <c r="H183" s="10">
        <v>78</v>
      </c>
      <c r="I183" s="10">
        <f t="shared" si="5"/>
        <v>78</v>
      </c>
      <c r="J183" s="11"/>
      <c r="K183" s="11">
        <v>0</v>
      </c>
      <c r="L183" s="74">
        <f t="shared" si="6"/>
        <v>78</v>
      </c>
      <c r="M183" s="34">
        <f t="shared" si="7"/>
        <v>58</v>
      </c>
    </row>
    <row r="184" spans="1:13" ht="15" customHeight="1" x14ac:dyDescent="0.2">
      <c r="A184" s="30" t="s">
        <v>44</v>
      </c>
      <c r="B184" s="31" t="s">
        <v>63</v>
      </c>
      <c r="C184" s="8"/>
      <c r="D184" s="32"/>
      <c r="E184" s="32" t="s">
        <v>242</v>
      </c>
      <c r="F184" s="40">
        <v>1</v>
      </c>
      <c r="G184" s="9">
        <v>5</v>
      </c>
      <c r="H184" s="10">
        <v>10</v>
      </c>
      <c r="I184" s="10">
        <f t="shared" si="5"/>
        <v>10</v>
      </c>
      <c r="J184" s="11"/>
      <c r="K184" s="11">
        <v>0</v>
      </c>
      <c r="L184" s="74">
        <f t="shared" si="6"/>
        <v>10</v>
      </c>
      <c r="M184" s="34">
        <f t="shared" si="7"/>
        <v>5</v>
      </c>
    </row>
    <row r="185" spans="1:13" ht="15" customHeight="1" x14ac:dyDescent="0.2">
      <c r="A185" s="30" t="s">
        <v>44</v>
      </c>
      <c r="B185" s="31" t="s">
        <v>66</v>
      </c>
      <c r="C185" s="8"/>
      <c r="D185" s="32"/>
      <c r="E185" s="32" t="s">
        <v>245</v>
      </c>
      <c r="F185" s="40">
        <v>1</v>
      </c>
      <c r="G185" s="9">
        <v>70</v>
      </c>
      <c r="H185" s="10">
        <v>98</v>
      </c>
      <c r="I185" s="10">
        <f t="shared" si="5"/>
        <v>98</v>
      </c>
      <c r="J185" s="11"/>
      <c r="K185" s="11">
        <v>0</v>
      </c>
      <c r="L185" s="74">
        <f t="shared" si="6"/>
        <v>98</v>
      </c>
      <c r="M185" s="34">
        <f t="shared" si="7"/>
        <v>70</v>
      </c>
    </row>
    <row r="186" spans="1:13" ht="15" customHeight="1" x14ac:dyDescent="0.2">
      <c r="A186" s="30" t="s">
        <v>44</v>
      </c>
      <c r="B186" s="31" t="s">
        <v>77</v>
      </c>
      <c r="C186" s="8"/>
      <c r="D186" s="32" t="s">
        <v>197</v>
      </c>
      <c r="E186" s="32" t="s">
        <v>256</v>
      </c>
      <c r="F186" s="40">
        <v>1</v>
      </c>
      <c r="G186" s="9">
        <v>102.7</v>
      </c>
      <c r="H186" s="10">
        <v>248</v>
      </c>
      <c r="I186" s="10">
        <f t="shared" si="5"/>
        <v>248</v>
      </c>
      <c r="J186" s="11"/>
      <c r="K186" s="11">
        <v>0</v>
      </c>
      <c r="L186" s="74">
        <f t="shared" si="6"/>
        <v>248</v>
      </c>
      <c r="M186" s="34">
        <f t="shared" si="7"/>
        <v>102.7</v>
      </c>
    </row>
    <row r="187" spans="1:13" ht="15" customHeight="1" x14ac:dyDescent="0.2">
      <c r="A187" s="30" t="s">
        <v>44</v>
      </c>
      <c r="B187" s="31" t="s">
        <v>118</v>
      </c>
      <c r="C187" s="8"/>
      <c r="D187" s="32" t="s">
        <v>198</v>
      </c>
      <c r="E187" s="32" t="s">
        <v>297</v>
      </c>
      <c r="F187" s="40">
        <v>1</v>
      </c>
      <c r="G187" s="9">
        <v>8645</v>
      </c>
      <c r="H187" s="10">
        <v>12350</v>
      </c>
      <c r="I187" s="10">
        <f t="shared" si="5"/>
        <v>12350</v>
      </c>
      <c r="J187" s="11"/>
      <c r="K187" s="11">
        <v>0</v>
      </c>
      <c r="L187" s="74">
        <f t="shared" si="6"/>
        <v>12350</v>
      </c>
      <c r="M187" s="34">
        <f t="shared" si="7"/>
        <v>8645</v>
      </c>
    </row>
    <row r="188" spans="1:13" ht="15" customHeight="1" x14ac:dyDescent="0.2">
      <c r="A188" s="30" t="s">
        <v>44</v>
      </c>
      <c r="B188" s="31" t="s">
        <v>50</v>
      </c>
      <c r="C188" s="8"/>
      <c r="D188" s="32" t="s">
        <v>199</v>
      </c>
      <c r="E188" s="32" t="s">
        <v>229</v>
      </c>
      <c r="F188" s="40">
        <v>2</v>
      </c>
      <c r="G188" s="9">
        <v>44.2</v>
      </c>
      <c r="H188" s="10">
        <v>78</v>
      </c>
      <c r="I188" s="10">
        <f t="shared" si="5"/>
        <v>156</v>
      </c>
      <c r="J188" s="11"/>
      <c r="K188" s="11">
        <v>0</v>
      </c>
      <c r="L188" s="74">
        <f t="shared" si="6"/>
        <v>156</v>
      </c>
      <c r="M188" s="34">
        <f t="shared" si="7"/>
        <v>88.4</v>
      </c>
    </row>
    <row r="189" spans="1:13" ht="15" customHeight="1" x14ac:dyDescent="0.2">
      <c r="A189" s="30" t="s">
        <v>44</v>
      </c>
      <c r="B189" s="31" t="s">
        <v>64</v>
      </c>
      <c r="C189" s="8"/>
      <c r="D189" s="32" t="s">
        <v>200</v>
      </c>
      <c r="E189" s="32" t="s">
        <v>243</v>
      </c>
      <c r="F189" s="40">
        <v>3</v>
      </c>
      <c r="G189" s="9">
        <v>20</v>
      </c>
      <c r="H189" s="10">
        <v>48</v>
      </c>
      <c r="I189" s="10">
        <f t="shared" si="5"/>
        <v>144</v>
      </c>
      <c r="J189" s="11"/>
      <c r="K189" s="11">
        <v>0</v>
      </c>
      <c r="L189" s="74">
        <f t="shared" si="6"/>
        <v>144</v>
      </c>
      <c r="M189" s="34">
        <f t="shared" si="7"/>
        <v>60</v>
      </c>
    </row>
    <row r="190" spans="1:13" ht="15" customHeight="1" x14ac:dyDescent="0.2">
      <c r="A190" s="30" t="s">
        <v>44</v>
      </c>
      <c r="B190" s="31" t="s">
        <v>50</v>
      </c>
      <c r="C190" s="8"/>
      <c r="D190" s="32" t="s">
        <v>201</v>
      </c>
      <c r="E190" s="32" t="s">
        <v>229</v>
      </c>
      <c r="F190" s="40">
        <v>5</v>
      </c>
      <c r="G190" s="9">
        <v>44.2</v>
      </c>
      <c r="H190" s="10">
        <v>78</v>
      </c>
      <c r="I190" s="10">
        <f t="shared" si="5"/>
        <v>390</v>
      </c>
      <c r="J190" s="11"/>
      <c r="K190" s="11">
        <v>0</v>
      </c>
      <c r="L190" s="74">
        <f t="shared" si="6"/>
        <v>390</v>
      </c>
      <c r="M190" s="34">
        <f t="shared" si="7"/>
        <v>221</v>
      </c>
    </row>
    <row r="191" spans="1:13" ht="15" customHeight="1" x14ac:dyDescent="0.2">
      <c r="A191" s="30" t="s">
        <v>44</v>
      </c>
      <c r="B191" s="31" t="s">
        <v>69</v>
      </c>
      <c r="C191" s="8"/>
      <c r="D191" s="32"/>
      <c r="E191" s="32" t="s">
        <v>248</v>
      </c>
      <c r="F191" s="40">
        <v>4</v>
      </c>
      <c r="G191" s="9">
        <v>32.5</v>
      </c>
      <c r="H191" s="10">
        <v>60</v>
      </c>
      <c r="I191" s="10">
        <f t="shared" si="5"/>
        <v>240</v>
      </c>
      <c r="J191" s="11"/>
      <c r="K191" s="11">
        <v>0</v>
      </c>
      <c r="L191" s="74">
        <f t="shared" si="6"/>
        <v>240</v>
      </c>
      <c r="M191" s="34">
        <f t="shared" si="7"/>
        <v>130</v>
      </c>
    </row>
    <row r="192" spans="1:13" ht="15" customHeight="1" x14ac:dyDescent="0.2">
      <c r="A192" s="30" t="s">
        <v>44</v>
      </c>
      <c r="B192" s="31" t="s">
        <v>73</v>
      </c>
      <c r="C192" s="8"/>
      <c r="D192" s="32"/>
      <c r="E192" s="32" t="s">
        <v>252</v>
      </c>
      <c r="F192" s="40">
        <v>2</v>
      </c>
      <c r="G192" s="9">
        <v>6.5</v>
      </c>
      <c r="H192" s="10">
        <v>10</v>
      </c>
      <c r="I192" s="10">
        <f t="shared" si="5"/>
        <v>20</v>
      </c>
      <c r="J192" s="11"/>
      <c r="K192" s="11">
        <v>0</v>
      </c>
      <c r="L192" s="74">
        <f t="shared" si="6"/>
        <v>20</v>
      </c>
      <c r="M192" s="34">
        <f t="shared" si="7"/>
        <v>13</v>
      </c>
    </row>
    <row r="193" spans="1:13" ht="15" customHeight="1" x14ac:dyDescent="0.2">
      <c r="A193" s="30" t="s">
        <v>44</v>
      </c>
      <c r="B193" s="31" t="s">
        <v>61</v>
      </c>
      <c r="C193" s="8"/>
      <c r="D193" s="32" t="s">
        <v>202</v>
      </c>
      <c r="E193" s="32" t="s">
        <v>240</v>
      </c>
      <c r="F193" s="40">
        <v>1</v>
      </c>
      <c r="G193" s="9">
        <v>323.7</v>
      </c>
      <c r="H193" s="10">
        <v>698</v>
      </c>
      <c r="I193" s="10">
        <f t="shared" si="5"/>
        <v>698</v>
      </c>
      <c r="J193" s="11"/>
      <c r="K193" s="11">
        <v>0</v>
      </c>
      <c r="L193" s="74">
        <f t="shared" si="6"/>
        <v>698</v>
      </c>
      <c r="M193" s="34">
        <f t="shared" si="7"/>
        <v>323.7</v>
      </c>
    </row>
    <row r="194" spans="1:13" ht="15" customHeight="1" x14ac:dyDescent="0.2">
      <c r="A194" s="30" t="s">
        <v>44</v>
      </c>
      <c r="B194" s="31" t="s">
        <v>79</v>
      </c>
      <c r="C194" s="8"/>
      <c r="D194" s="32"/>
      <c r="E194" s="32" t="s">
        <v>258</v>
      </c>
      <c r="F194" s="40">
        <v>1</v>
      </c>
      <c r="G194" s="9">
        <v>122.2</v>
      </c>
      <c r="H194" s="10">
        <v>228</v>
      </c>
      <c r="I194" s="10">
        <f t="shared" si="5"/>
        <v>228</v>
      </c>
      <c r="J194" s="11"/>
      <c r="K194" s="11">
        <v>0</v>
      </c>
      <c r="L194" s="74">
        <f t="shared" si="6"/>
        <v>228</v>
      </c>
      <c r="M194" s="34">
        <f t="shared" si="7"/>
        <v>122.2</v>
      </c>
    </row>
    <row r="195" spans="1:13" ht="15" customHeight="1" x14ac:dyDescent="0.2">
      <c r="A195" s="30" t="s">
        <v>44</v>
      </c>
      <c r="B195" s="31" t="s">
        <v>62</v>
      </c>
      <c r="C195" s="8"/>
      <c r="D195" s="32"/>
      <c r="E195" s="32" t="s">
        <v>241</v>
      </c>
      <c r="F195" s="40">
        <v>1</v>
      </c>
      <c r="G195" s="9">
        <v>188</v>
      </c>
      <c r="H195" s="10">
        <v>188</v>
      </c>
      <c r="I195" s="10">
        <f t="shared" si="5"/>
        <v>188</v>
      </c>
      <c r="J195" s="11"/>
      <c r="K195" s="11">
        <v>0</v>
      </c>
      <c r="L195" s="74">
        <f t="shared" si="6"/>
        <v>188</v>
      </c>
      <c r="M195" s="34">
        <f t="shared" si="7"/>
        <v>188</v>
      </c>
    </row>
    <row r="196" spans="1:13" ht="15" customHeight="1" x14ac:dyDescent="0.2">
      <c r="A196" s="30" t="s">
        <v>44</v>
      </c>
      <c r="B196" s="31" t="s">
        <v>76</v>
      </c>
      <c r="C196" s="8"/>
      <c r="D196" s="32"/>
      <c r="E196" s="32" t="s">
        <v>255</v>
      </c>
      <c r="F196" s="40">
        <v>1</v>
      </c>
      <c r="G196" s="9">
        <v>50.7</v>
      </c>
      <c r="H196" s="10">
        <v>78</v>
      </c>
      <c r="I196" s="10">
        <f t="shared" si="5"/>
        <v>78</v>
      </c>
      <c r="J196" s="11"/>
      <c r="K196" s="11">
        <v>0</v>
      </c>
      <c r="L196" s="74">
        <f t="shared" si="6"/>
        <v>78</v>
      </c>
      <c r="M196" s="34">
        <f t="shared" si="7"/>
        <v>50.7</v>
      </c>
    </row>
    <row r="197" spans="1:13" ht="15" customHeight="1" x14ac:dyDescent="0.2">
      <c r="A197" s="30" t="s">
        <v>45</v>
      </c>
      <c r="B197" s="31" t="s">
        <v>56</v>
      </c>
      <c r="C197" s="8"/>
      <c r="D197" s="32" t="s">
        <v>203</v>
      </c>
      <c r="E197" s="32" t="s">
        <v>235</v>
      </c>
      <c r="F197" s="40">
        <v>1</v>
      </c>
      <c r="G197" s="9">
        <v>421.2</v>
      </c>
      <c r="H197" s="10">
        <v>648</v>
      </c>
      <c r="I197" s="10">
        <f t="shared" si="5"/>
        <v>648</v>
      </c>
      <c r="J197" s="11"/>
      <c r="K197" s="11">
        <v>0</v>
      </c>
      <c r="L197" s="74">
        <f t="shared" si="6"/>
        <v>648</v>
      </c>
      <c r="M197" s="34">
        <f t="shared" si="7"/>
        <v>421.2</v>
      </c>
    </row>
    <row r="198" spans="1:13" ht="15" customHeight="1" x14ac:dyDescent="0.2">
      <c r="A198" s="30" t="s">
        <v>45</v>
      </c>
      <c r="B198" s="31" t="s">
        <v>109</v>
      </c>
      <c r="C198" s="8"/>
      <c r="D198" s="32" t="s">
        <v>204</v>
      </c>
      <c r="E198" s="32" t="s">
        <v>288</v>
      </c>
      <c r="F198" s="40">
        <v>3</v>
      </c>
      <c r="G198" s="9">
        <v>200</v>
      </c>
      <c r="H198" s="10">
        <v>288</v>
      </c>
      <c r="I198" s="10">
        <f t="shared" si="5"/>
        <v>864</v>
      </c>
      <c r="J198" s="11"/>
      <c r="K198" s="11">
        <v>0</v>
      </c>
      <c r="L198" s="74">
        <f t="shared" si="6"/>
        <v>864</v>
      </c>
      <c r="M198" s="34">
        <f t="shared" si="7"/>
        <v>600</v>
      </c>
    </row>
    <row r="199" spans="1:13" ht="15" customHeight="1" x14ac:dyDescent="0.2">
      <c r="A199" s="30" t="s">
        <v>45</v>
      </c>
      <c r="B199" s="31" t="s">
        <v>114</v>
      </c>
      <c r="C199" s="8"/>
      <c r="D199" s="32" t="s">
        <v>205</v>
      </c>
      <c r="E199" s="32" t="s">
        <v>293</v>
      </c>
      <c r="F199" s="40">
        <v>1</v>
      </c>
      <c r="G199" s="9">
        <v>36237.22</v>
      </c>
      <c r="H199" s="10">
        <v>49400</v>
      </c>
      <c r="I199" s="10">
        <f t="shared" ref="I199:I262" si="8">F199*H199</f>
        <v>49400</v>
      </c>
      <c r="J199" s="11"/>
      <c r="K199" s="11">
        <v>0</v>
      </c>
      <c r="L199" s="74">
        <f t="shared" ref="L199:L262" si="9">I199-K199</f>
        <v>49400</v>
      </c>
      <c r="M199" s="34">
        <f t="shared" si="7"/>
        <v>36237.22</v>
      </c>
    </row>
    <row r="200" spans="1:13" ht="15" customHeight="1" x14ac:dyDescent="0.2">
      <c r="A200" s="30" t="s">
        <v>45</v>
      </c>
      <c r="B200" s="31" t="s">
        <v>119</v>
      </c>
      <c r="C200" s="8"/>
      <c r="D200" s="32" t="s">
        <v>206</v>
      </c>
      <c r="E200" s="32" t="s">
        <v>298</v>
      </c>
      <c r="F200" s="40">
        <v>30</v>
      </c>
      <c r="G200" s="9">
        <v>120</v>
      </c>
      <c r="H200" s="10">
        <v>168</v>
      </c>
      <c r="I200" s="10">
        <f t="shared" si="8"/>
        <v>5040</v>
      </c>
      <c r="J200" s="11"/>
      <c r="K200" s="11">
        <v>0</v>
      </c>
      <c r="L200" s="74">
        <f t="shared" si="9"/>
        <v>5040</v>
      </c>
      <c r="M200" s="34">
        <f t="shared" si="7"/>
        <v>3600</v>
      </c>
    </row>
    <row r="201" spans="1:13" ht="15" customHeight="1" x14ac:dyDescent="0.2">
      <c r="A201" s="30" t="s">
        <v>45</v>
      </c>
      <c r="B201" s="31" t="s">
        <v>120</v>
      </c>
      <c r="C201" s="8"/>
      <c r="D201" s="32" t="s">
        <v>207</v>
      </c>
      <c r="E201" s="32" t="s">
        <v>299</v>
      </c>
      <c r="F201" s="40">
        <v>1</v>
      </c>
      <c r="G201" s="9">
        <v>178</v>
      </c>
      <c r="H201" s="10">
        <v>248</v>
      </c>
      <c r="I201" s="10">
        <f t="shared" si="8"/>
        <v>248</v>
      </c>
      <c r="J201" s="11"/>
      <c r="K201" s="11">
        <v>0</v>
      </c>
      <c r="L201" s="74">
        <f t="shared" si="9"/>
        <v>248</v>
      </c>
      <c r="M201" s="34">
        <f t="shared" si="7"/>
        <v>178</v>
      </c>
    </row>
    <row r="202" spans="1:13" ht="15" customHeight="1" x14ac:dyDescent="0.2">
      <c r="A202" s="30" t="s">
        <v>45</v>
      </c>
      <c r="B202" s="31" t="s">
        <v>73</v>
      </c>
      <c r="C202" s="8"/>
      <c r="D202" s="32"/>
      <c r="E202" s="32" t="s">
        <v>252</v>
      </c>
      <c r="F202" s="40">
        <v>6</v>
      </c>
      <c r="G202" s="9">
        <v>6.5</v>
      </c>
      <c r="H202" s="10">
        <v>10</v>
      </c>
      <c r="I202" s="10">
        <f t="shared" si="8"/>
        <v>60</v>
      </c>
      <c r="J202" s="11"/>
      <c r="K202" s="11">
        <v>0</v>
      </c>
      <c r="L202" s="74">
        <f t="shared" si="9"/>
        <v>60</v>
      </c>
      <c r="M202" s="34">
        <f t="shared" si="7"/>
        <v>39</v>
      </c>
    </row>
    <row r="203" spans="1:13" ht="15" customHeight="1" x14ac:dyDescent="0.2">
      <c r="A203" s="30" t="s">
        <v>45</v>
      </c>
      <c r="B203" s="31" t="s">
        <v>95</v>
      </c>
      <c r="C203" s="8"/>
      <c r="D203" s="32"/>
      <c r="E203" s="32" t="s">
        <v>274</v>
      </c>
      <c r="F203" s="40">
        <v>1</v>
      </c>
      <c r="G203" s="9">
        <v>160</v>
      </c>
      <c r="H203" s="10">
        <v>228</v>
      </c>
      <c r="I203" s="10">
        <f t="shared" si="8"/>
        <v>228</v>
      </c>
      <c r="J203" s="11"/>
      <c r="K203" s="11">
        <v>0</v>
      </c>
      <c r="L203" s="74">
        <f t="shared" si="9"/>
        <v>228</v>
      </c>
      <c r="M203" s="34">
        <f t="shared" si="7"/>
        <v>160</v>
      </c>
    </row>
    <row r="204" spans="1:13" ht="15" customHeight="1" x14ac:dyDescent="0.2">
      <c r="A204" s="30" t="s">
        <v>45</v>
      </c>
      <c r="B204" s="31" t="s">
        <v>60</v>
      </c>
      <c r="C204" s="8"/>
      <c r="D204" s="32"/>
      <c r="E204" s="32" t="s">
        <v>239</v>
      </c>
      <c r="F204" s="40">
        <v>1</v>
      </c>
      <c r="G204" s="9">
        <v>100</v>
      </c>
      <c r="H204" s="10">
        <v>188</v>
      </c>
      <c r="I204" s="10">
        <f t="shared" si="8"/>
        <v>188</v>
      </c>
      <c r="J204" s="11"/>
      <c r="K204" s="11">
        <v>0</v>
      </c>
      <c r="L204" s="74">
        <f t="shared" si="9"/>
        <v>188</v>
      </c>
      <c r="M204" s="34">
        <f t="shared" si="7"/>
        <v>100</v>
      </c>
    </row>
    <row r="205" spans="1:13" ht="15" customHeight="1" x14ac:dyDescent="0.2">
      <c r="A205" s="30" t="s">
        <v>45</v>
      </c>
      <c r="B205" s="31" t="s">
        <v>121</v>
      </c>
      <c r="C205" s="8"/>
      <c r="D205" s="32"/>
      <c r="E205" s="32" t="s">
        <v>300</v>
      </c>
      <c r="F205" s="40">
        <v>1</v>
      </c>
      <c r="G205" s="9">
        <v>63.7</v>
      </c>
      <c r="H205" s="10">
        <v>98</v>
      </c>
      <c r="I205" s="10">
        <f t="shared" si="8"/>
        <v>98</v>
      </c>
      <c r="J205" s="11"/>
      <c r="K205" s="11">
        <v>20</v>
      </c>
      <c r="L205" s="74">
        <f t="shared" si="9"/>
        <v>78</v>
      </c>
      <c r="M205" s="34">
        <f t="shared" si="7"/>
        <v>63.7</v>
      </c>
    </row>
    <row r="206" spans="1:13" ht="15" customHeight="1" x14ac:dyDescent="0.2">
      <c r="A206" s="30" t="s">
        <v>45</v>
      </c>
      <c r="B206" s="31" t="s">
        <v>77</v>
      </c>
      <c r="C206" s="8"/>
      <c r="D206" s="32" t="s">
        <v>208</v>
      </c>
      <c r="E206" s="32" t="s">
        <v>256</v>
      </c>
      <c r="F206" s="40">
        <v>1</v>
      </c>
      <c r="G206" s="9">
        <v>102.7</v>
      </c>
      <c r="H206" s="10">
        <v>248</v>
      </c>
      <c r="I206" s="10">
        <f t="shared" si="8"/>
        <v>248</v>
      </c>
      <c r="J206" s="11"/>
      <c r="K206" s="11">
        <v>0</v>
      </c>
      <c r="L206" s="74">
        <f t="shared" si="9"/>
        <v>248</v>
      </c>
      <c r="M206" s="34">
        <f t="shared" si="7"/>
        <v>102.7</v>
      </c>
    </row>
    <row r="207" spans="1:13" ht="15" customHeight="1" x14ac:dyDescent="0.2">
      <c r="A207" s="30" t="s">
        <v>45</v>
      </c>
      <c r="B207" s="31" t="s">
        <v>122</v>
      </c>
      <c r="C207" s="8"/>
      <c r="D207" s="32" t="s">
        <v>209</v>
      </c>
      <c r="E207" s="32" t="s">
        <v>301</v>
      </c>
      <c r="F207" s="40">
        <v>20</v>
      </c>
      <c r="G207" s="9">
        <v>21</v>
      </c>
      <c r="H207" s="10">
        <v>30</v>
      </c>
      <c r="I207" s="10">
        <f t="shared" si="8"/>
        <v>600</v>
      </c>
      <c r="J207" s="11"/>
      <c r="K207" s="11">
        <v>0</v>
      </c>
      <c r="L207" s="74">
        <f t="shared" si="9"/>
        <v>600</v>
      </c>
      <c r="M207" s="34">
        <f t="shared" si="7"/>
        <v>420</v>
      </c>
    </row>
    <row r="208" spans="1:13" ht="15" customHeight="1" x14ac:dyDescent="0.2">
      <c r="A208" s="30" t="s">
        <v>45</v>
      </c>
      <c r="B208" s="31" t="s">
        <v>55</v>
      </c>
      <c r="C208" s="8"/>
      <c r="D208" s="32"/>
      <c r="E208" s="32" t="s">
        <v>234</v>
      </c>
      <c r="F208" s="40">
        <v>3</v>
      </c>
      <c r="G208" s="9">
        <v>63.7</v>
      </c>
      <c r="H208" s="10">
        <v>228</v>
      </c>
      <c r="I208" s="10">
        <f t="shared" si="8"/>
        <v>684</v>
      </c>
      <c r="J208" s="11"/>
      <c r="K208" s="11">
        <v>0</v>
      </c>
      <c r="L208" s="74">
        <f t="shared" si="9"/>
        <v>684</v>
      </c>
      <c r="M208" s="34">
        <f t="shared" si="7"/>
        <v>191.10000000000002</v>
      </c>
    </row>
    <row r="209" spans="1:13" ht="15" customHeight="1" x14ac:dyDescent="0.2">
      <c r="A209" s="30" t="s">
        <v>45</v>
      </c>
      <c r="B209" s="31" t="s">
        <v>115</v>
      </c>
      <c r="C209" s="8"/>
      <c r="D209" s="32"/>
      <c r="E209" s="32" t="s">
        <v>294</v>
      </c>
      <c r="F209" s="40">
        <v>3</v>
      </c>
      <c r="G209" s="9">
        <v>147</v>
      </c>
      <c r="H209" s="10">
        <v>298</v>
      </c>
      <c r="I209" s="10">
        <f t="shared" si="8"/>
        <v>894</v>
      </c>
      <c r="J209" s="11"/>
      <c r="K209" s="11">
        <v>0</v>
      </c>
      <c r="L209" s="74">
        <f t="shared" si="9"/>
        <v>894</v>
      </c>
      <c r="M209" s="34">
        <f t="shared" si="7"/>
        <v>441</v>
      </c>
    </row>
    <row r="210" spans="1:13" ht="15" customHeight="1" x14ac:dyDescent="0.2">
      <c r="A210" s="30" t="s">
        <v>45</v>
      </c>
      <c r="B210" s="31" t="s">
        <v>100</v>
      </c>
      <c r="C210" s="8"/>
      <c r="D210" s="32"/>
      <c r="E210" s="32" t="s">
        <v>279</v>
      </c>
      <c r="F210" s="40">
        <v>1</v>
      </c>
      <c r="G210" s="9">
        <v>291.20999999999998</v>
      </c>
      <c r="H210" s="10">
        <v>448</v>
      </c>
      <c r="I210" s="10">
        <f t="shared" si="8"/>
        <v>448</v>
      </c>
      <c r="J210" s="11"/>
      <c r="K210" s="11">
        <v>0</v>
      </c>
      <c r="L210" s="74">
        <f t="shared" si="9"/>
        <v>448</v>
      </c>
      <c r="M210" s="34">
        <f t="shared" si="7"/>
        <v>291.20999999999998</v>
      </c>
    </row>
    <row r="211" spans="1:13" ht="15" customHeight="1" x14ac:dyDescent="0.2">
      <c r="A211" s="30" t="s">
        <v>45</v>
      </c>
      <c r="B211" s="31" t="s">
        <v>94</v>
      </c>
      <c r="C211" s="8"/>
      <c r="D211" s="32"/>
      <c r="E211" s="32" t="s">
        <v>273</v>
      </c>
      <c r="F211" s="40">
        <v>1</v>
      </c>
      <c r="G211" s="9">
        <v>291.2</v>
      </c>
      <c r="H211" s="10">
        <v>448</v>
      </c>
      <c r="I211" s="10">
        <f t="shared" si="8"/>
        <v>448</v>
      </c>
      <c r="J211" s="11"/>
      <c r="K211" s="11">
        <v>0</v>
      </c>
      <c r="L211" s="74">
        <f t="shared" si="9"/>
        <v>448</v>
      </c>
      <c r="M211" s="34">
        <f t="shared" si="7"/>
        <v>291.2</v>
      </c>
    </row>
    <row r="212" spans="1:13" ht="15" customHeight="1" x14ac:dyDescent="0.2">
      <c r="A212" s="30" t="s">
        <v>45</v>
      </c>
      <c r="B212" s="31" t="s">
        <v>47</v>
      </c>
      <c r="C212" s="8"/>
      <c r="D212" s="32"/>
      <c r="E212" s="32" t="s">
        <v>226</v>
      </c>
      <c r="F212" s="40">
        <v>3</v>
      </c>
      <c r="G212" s="9">
        <v>115.7</v>
      </c>
      <c r="H212" s="10">
        <v>188</v>
      </c>
      <c r="I212" s="10">
        <f t="shared" si="8"/>
        <v>564</v>
      </c>
      <c r="J212" s="11"/>
      <c r="K212" s="11">
        <v>0</v>
      </c>
      <c r="L212" s="74">
        <f t="shared" si="9"/>
        <v>564</v>
      </c>
      <c r="M212" s="34">
        <f t="shared" si="7"/>
        <v>347.1</v>
      </c>
    </row>
    <row r="213" spans="1:13" ht="15" customHeight="1" x14ac:dyDescent="0.2">
      <c r="A213" s="30" t="s">
        <v>45</v>
      </c>
      <c r="B213" s="31" t="s">
        <v>123</v>
      </c>
      <c r="C213" s="8"/>
      <c r="D213" s="32"/>
      <c r="E213" s="32" t="s">
        <v>302</v>
      </c>
      <c r="F213" s="40">
        <v>2</v>
      </c>
      <c r="G213" s="9">
        <v>30</v>
      </c>
      <c r="H213" s="10">
        <v>30</v>
      </c>
      <c r="I213" s="10">
        <f t="shared" si="8"/>
        <v>60</v>
      </c>
      <c r="J213" s="11"/>
      <c r="K213" s="11">
        <v>0</v>
      </c>
      <c r="L213" s="74">
        <f t="shared" si="9"/>
        <v>60</v>
      </c>
      <c r="M213" s="34">
        <f t="shared" si="7"/>
        <v>60</v>
      </c>
    </row>
    <row r="214" spans="1:13" ht="15" customHeight="1" x14ac:dyDescent="0.2">
      <c r="A214" s="30" t="s">
        <v>45</v>
      </c>
      <c r="B214" s="31" t="s">
        <v>95</v>
      </c>
      <c r="C214" s="8"/>
      <c r="D214" s="32" t="s">
        <v>210</v>
      </c>
      <c r="E214" s="32" t="s">
        <v>274</v>
      </c>
      <c r="F214" s="40">
        <v>1</v>
      </c>
      <c r="G214" s="9">
        <v>160</v>
      </c>
      <c r="H214" s="10">
        <v>228</v>
      </c>
      <c r="I214" s="10">
        <f t="shared" si="8"/>
        <v>228</v>
      </c>
      <c r="J214" s="11"/>
      <c r="K214" s="11">
        <v>0</v>
      </c>
      <c r="L214" s="74">
        <f t="shared" si="9"/>
        <v>228</v>
      </c>
      <c r="M214" s="34">
        <f t="shared" si="7"/>
        <v>160</v>
      </c>
    </row>
    <row r="215" spans="1:13" ht="15" customHeight="1" x14ac:dyDescent="0.2">
      <c r="A215" s="30" t="s">
        <v>45</v>
      </c>
      <c r="B215" s="31" t="s">
        <v>73</v>
      </c>
      <c r="C215" s="8"/>
      <c r="D215" s="32"/>
      <c r="E215" s="32" t="s">
        <v>252</v>
      </c>
      <c r="F215" s="40">
        <v>8</v>
      </c>
      <c r="G215" s="9">
        <v>6.5</v>
      </c>
      <c r="H215" s="10">
        <v>10</v>
      </c>
      <c r="I215" s="10">
        <f t="shared" si="8"/>
        <v>80</v>
      </c>
      <c r="J215" s="11"/>
      <c r="K215" s="11">
        <v>0</v>
      </c>
      <c r="L215" s="74">
        <f t="shared" si="9"/>
        <v>80</v>
      </c>
      <c r="M215" s="34">
        <f t="shared" si="7"/>
        <v>52</v>
      </c>
    </row>
    <row r="216" spans="1:13" ht="15" customHeight="1" x14ac:dyDescent="0.2">
      <c r="A216" s="30" t="s">
        <v>45</v>
      </c>
      <c r="B216" s="31" t="s">
        <v>86</v>
      </c>
      <c r="C216" s="8"/>
      <c r="D216" s="32" t="s">
        <v>211</v>
      </c>
      <c r="E216" s="32" t="s">
        <v>265</v>
      </c>
      <c r="F216" s="40">
        <v>60</v>
      </c>
      <c r="G216" s="9">
        <v>3</v>
      </c>
      <c r="H216" s="10">
        <v>5</v>
      </c>
      <c r="I216" s="10">
        <f t="shared" si="8"/>
        <v>300</v>
      </c>
      <c r="J216" s="11"/>
      <c r="K216" s="11">
        <v>0</v>
      </c>
      <c r="L216" s="74">
        <f t="shared" si="9"/>
        <v>300</v>
      </c>
      <c r="M216" s="34">
        <f t="shared" si="7"/>
        <v>180</v>
      </c>
    </row>
    <row r="217" spans="1:13" ht="15" customHeight="1" x14ac:dyDescent="0.2">
      <c r="A217" s="30" t="s">
        <v>45</v>
      </c>
      <c r="B217" s="31" t="s">
        <v>69</v>
      </c>
      <c r="C217" s="8"/>
      <c r="D217" s="32"/>
      <c r="E217" s="32" t="s">
        <v>248</v>
      </c>
      <c r="F217" s="40">
        <v>13</v>
      </c>
      <c r="G217" s="9">
        <v>32.5</v>
      </c>
      <c r="H217" s="10">
        <v>60</v>
      </c>
      <c r="I217" s="10">
        <f t="shared" si="8"/>
        <v>780</v>
      </c>
      <c r="J217" s="11"/>
      <c r="K217" s="11">
        <v>0</v>
      </c>
      <c r="L217" s="74">
        <f t="shared" si="9"/>
        <v>780</v>
      </c>
      <c r="M217" s="34">
        <f t="shared" si="7"/>
        <v>422.5</v>
      </c>
    </row>
    <row r="218" spans="1:13" ht="15" customHeight="1" x14ac:dyDescent="0.2">
      <c r="A218" s="30" t="s">
        <v>45</v>
      </c>
      <c r="B218" s="31" t="s">
        <v>70</v>
      </c>
      <c r="C218" s="8"/>
      <c r="D218" s="32"/>
      <c r="E218" s="32" t="s">
        <v>249</v>
      </c>
      <c r="F218" s="40">
        <v>12</v>
      </c>
      <c r="G218" s="9">
        <v>40</v>
      </c>
      <c r="H218" s="10">
        <v>50</v>
      </c>
      <c r="I218" s="10">
        <f t="shared" si="8"/>
        <v>600</v>
      </c>
      <c r="J218" s="11"/>
      <c r="K218" s="11">
        <v>0</v>
      </c>
      <c r="L218" s="74">
        <f t="shared" si="9"/>
        <v>600</v>
      </c>
      <c r="M218" s="34">
        <f t="shared" si="7"/>
        <v>480</v>
      </c>
    </row>
    <row r="219" spans="1:13" ht="15" customHeight="1" x14ac:dyDescent="0.2">
      <c r="A219" s="30" t="s">
        <v>45</v>
      </c>
      <c r="B219" s="31" t="s">
        <v>73</v>
      </c>
      <c r="C219" s="8"/>
      <c r="D219" s="32"/>
      <c r="E219" s="32" t="s">
        <v>252</v>
      </c>
      <c r="F219" s="40">
        <v>26</v>
      </c>
      <c r="G219" s="9">
        <v>6.5</v>
      </c>
      <c r="H219" s="10">
        <v>10</v>
      </c>
      <c r="I219" s="10">
        <f t="shared" si="8"/>
        <v>260</v>
      </c>
      <c r="J219" s="11"/>
      <c r="K219" s="11">
        <v>5</v>
      </c>
      <c r="L219" s="74">
        <f t="shared" si="9"/>
        <v>255</v>
      </c>
      <c r="M219" s="34">
        <f t="shared" ref="M219:M282" si="10">F219*G219</f>
        <v>169</v>
      </c>
    </row>
    <row r="220" spans="1:13" ht="15" customHeight="1" x14ac:dyDescent="0.2">
      <c r="A220" s="30" t="s">
        <v>45</v>
      </c>
      <c r="B220" s="31" t="s">
        <v>59</v>
      </c>
      <c r="C220" s="8"/>
      <c r="D220" s="32" t="s">
        <v>212</v>
      </c>
      <c r="E220" s="32" t="s">
        <v>238</v>
      </c>
      <c r="F220" s="40">
        <v>1</v>
      </c>
      <c r="G220" s="9">
        <v>218</v>
      </c>
      <c r="H220" s="10">
        <v>298</v>
      </c>
      <c r="I220" s="10">
        <f t="shared" si="8"/>
        <v>298</v>
      </c>
      <c r="J220" s="11"/>
      <c r="K220" s="11">
        <v>0</v>
      </c>
      <c r="L220" s="74">
        <f t="shared" si="9"/>
        <v>298</v>
      </c>
      <c r="M220" s="34">
        <f t="shared" si="10"/>
        <v>218</v>
      </c>
    </row>
    <row r="221" spans="1:13" ht="15" customHeight="1" x14ac:dyDescent="0.2">
      <c r="A221" s="30" t="s">
        <v>45</v>
      </c>
      <c r="B221" s="31" t="s">
        <v>54</v>
      </c>
      <c r="C221" s="8"/>
      <c r="D221" s="32"/>
      <c r="E221" s="32" t="s">
        <v>233</v>
      </c>
      <c r="F221" s="40">
        <v>1</v>
      </c>
      <c r="G221" s="9">
        <v>115.7</v>
      </c>
      <c r="H221" s="10">
        <v>188</v>
      </c>
      <c r="I221" s="10">
        <f t="shared" si="8"/>
        <v>188</v>
      </c>
      <c r="J221" s="11"/>
      <c r="K221" s="11">
        <v>0</v>
      </c>
      <c r="L221" s="74">
        <f t="shared" si="9"/>
        <v>188</v>
      </c>
      <c r="M221" s="34">
        <f t="shared" si="10"/>
        <v>115.7</v>
      </c>
    </row>
    <row r="222" spans="1:13" ht="15" customHeight="1" x14ac:dyDescent="0.2">
      <c r="A222" s="30" t="s">
        <v>45</v>
      </c>
      <c r="B222" s="31" t="s">
        <v>60</v>
      </c>
      <c r="C222" s="8"/>
      <c r="D222" s="32"/>
      <c r="E222" s="32" t="s">
        <v>239</v>
      </c>
      <c r="F222" s="40">
        <v>1</v>
      </c>
      <c r="G222" s="9">
        <v>100</v>
      </c>
      <c r="H222" s="10">
        <v>188</v>
      </c>
      <c r="I222" s="10">
        <f t="shared" si="8"/>
        <v>188</v>
      </c>
      <c r="J222" s="11"/>
      <c r="K222" s="11">
        <v>0</v>
      </c>
      <c r="L222" s="74">
        <f t="shared" si="9"/>
        <v>188</v>
      </c>
      <c r="M222" s="34">
        <f t="shared" si="10"/>
        <v>100</v>
      </c>
    </row>
    <row r="223" spans="1:13" ht="15" customHeight="1" x14ac:dyDescent="0.2">
      <c r="A223" s="30" t="s">
        <v>45</v>
      </c>
      <c r="B223" s="31" t="s">
        <v>113</v>
      </c>
      <c r="C223" s="8"/>
      <c r="D223" s="32"/>
      <c r="E223" s="32" t="s">
        <v>292</v>
      </c>
      <c r="F223" s="40">
        <v>1</v>
      </c>
      <c r="G223" s="9">
        <v>63.7</v>
      </c>
      <c r="H223" s="10">
        <v>98</v>
      </c>
      <c r="I223" s="10">
        <f t="shared" si="8"/>
        <v>98</v>
      </c>
      <c r="J223" s="11"/>
      <c r="K223" s="11">
        <v>0</v>
      </c>
      <c r="L223" s="74">
        <f t="shared" si="9"/>
        <v>98</v>
      </c>
      <c r="M223" s="34">
        <f t="shared" si="10"/>
        <v>63.7</v>
      </c>
    </row>
    <row r="224" spans="1:13" ht="15" customHeight="1" x14ac:dyDescent="0.2">
      <c r="A224" s="30" t="s">
        <v>45</v>
      </c>
      <c r="B224" s="31" t="s">
        <v>112</v>
      </c>
      <c r="C224" s="8"/>
      <c r="D224" s="32"/>
      <c r="E224" s="32" t="s">
        <v>291</v>
      </c>
      <c r="F224" s="40">
        <v>1</v>
      </c>
      <c r="G224" s="9">
        <v>58</v>
      </c>
      <c r="H224" s="10">
        <v>78</v>
      </c>
      <c r="I224" s="10">
        <f>F224*H224</f>
        <v>78</v>
      </c>
      <c r="J224" s="11"/>
      <c r="K224" s="11">
        <v>0</v>
      </c>
      <c r="L224" s="74">
        <f t="shared" si="9"/>
        <v>78</v>
      </c>
      <c r="M224" s="34">
        <f t="shared" si="10"/>
        <v>58</v>
      </c>
    </row>
    <row r="225" spans="1:13" ht="15" customHeight="1" x14ac:dyDescent="0.2">
      <c r="A225" s="30" t="s">
        <v>45</v>
      </c>
      <c r="B225" s="31" t="s">
        <v>63</v>
      </c>
      <c r="C225" s="8"/>
      <c r="D225" s="32"/>
      <c r="E225" s="32" t="s">
        <v>242</v>
      </c>
      <c r="F225" s="40">
        <v>1</v>
      </c>
      <c r="G225" s="9">
        <v>5</v>
      </c>
      <c r="H225" s="10">
        <v>10</v>
      </c>
      <c r="I225" s="10">
        <f t="shared" si="8"/>
        <v>10</v>
      </c>
      <c r="J225" s="11"/>
      <c r="K225" s="11">
        <v>0</v>
      </c>
      <c r="L225" s="74">
        <f t="shared" si="9"/>
        <v>10</v>
      </c>
      <c r="M225" s="34">
        <f t="shared" si="10"/>
        <v>5</v>
      </c>
    </row>
    <row r="226" spans="1:13" ht="15" customHeight="1" x14ac:dyDescent="0.2">
      <c r="A226" s="30" t="s">
        <v>45</v>
      </c>
      <c r="B226" s="31" t="s">
        <v>76</v>
      </c>
      <c r="C226" s="8"/>
      <c r="D226" s="32"/>
      <c r="E226" s="32" t="s">
        <v>255</v>
      </c>
      <c r="F226" s="40">
        <v>1</v>
      </c>
      <c r="G226" s="9">
        <v>50.7</v>
      </c>
      <c r="H226" s="10">
        <v>78</v>
      </c>
      <c r="I226" s="10">
        <f t="shared" si="8"/>
        <v>78</v>
      </c>
      <c r="J226" s="11"/>
      <c r="K226" s="11">
        <v>0</v>
      </c>
      <c r="L226" s="74">
        <f t="shared" si="9"/>
        <v>78</v>
      </c>
      <c r="M226" s="34">
        <f t="shared" si="10"/>
        <v>50.7</v>
      </c>
    </row>
    <row r="227" spans="1:13" ht="15" customHeight="1" x14ac:dyDescent="0.2">
      <c r="A227" s="30" t="s">
        <v>45</v>
      </c>
      <c r="B227" s="31" t="s">
        <v>50</v>
      </c>
      <c r="C227" s="8"/>
      <c r="D227" s="32"/>
      <c r="E227" s="32" t="s">
        <v>229</v>
      </c>
      <c r="F227" s="40">
        <v>4</v>
      </c>
      <c r="G227" s="9">
        <v>44.2</v>
      </c>
      <c r="H227" s="10">
        <v>78</v>
      </c>
      <c r="I227" s="10">
        <f t="shared" si="8"/>
        <v>312</v>
      </c>
      <c r="J227" s="11"/>
      <c r="K227" s="11">
        <v>0</v>
      </c>
      <c r="L227" s="74">
        <f t="shared" si="9"/>
        <v>312</v>
      </c>
      <c r="M227" s="34">
        <f t="shared" si="10"/>
        <v>176.8</v>
      </c>
    </row>
    <row r="228" spans="1:13" ht="15" customHeight="1" x14ac:dyDescent="0.2">
      <c r="A228" s="30" t="s">
        <v>45</v>
      </c>
      <c r="B228" s="31" t="s">
        <v>57</v>
      </c>
      <c r="C228" s="8"/>
      <c r="D228" s="32" t="s">
        <v>213</v>
      </c>
      <c r="E228" s="32" t="s">
        <v>236</v>
      </c>
      <c r="F228" s="40">
        <v>1</v>
      </c>
      <c r="G228" s="9">
        <v>187.2</v>
      </c>
      <c r="H228" s="10">
        <v>288</v>
      </c>
      <c r="I228" s="10">
        <f t="shared" si="8"/>
        <v>288</v>
      </c>
      <c r="J228" s="11"/>
      <c r="K228" s="11">
        <v>0</v>
      </c>
      <c r="L228" s="74">
        <f>I228-K228</f>
        <v>288</v>
      </c>
      <c r="M228" s="34">
        <f t="shared" si="10"/>
        <v>187.2</v>
      </c>
    </row>
    <row r="229" spans="1:13" ht="15" customHeight="1" x14ac:dyDescent="0.2">
      <c r="A229" s="30" t="s">
        <v>45</v>
      </c>
      <c r="B229" s="31" t="s">
        <v>124</v>
      </c>
      <c r="C229" s="8"/>
      <c r="D229" s="32" t="s">
        <v>214</v>
      </c>
      <c r="E229" s="32" t="s">
        <v>303</v>
      </c>
      <c r="F229" s="40">
        <v>15</v>
      </c>
      <c r="G229" s="9">
        <v>20</v>
      </c>
      <c r="H229" s="10">
        <v>38</v>
      </c>
      <c r="I229" s="10">
        <f t="shared" si="8"/>
        <v>570</v>
      </c>
      <c r="J229" s="11"/>
      <c r="K229" s="11">
        <v>0</v>
      </c>
      <c r="L229" s="74">
        <f t="shared" si="9"/>
        <v>570</v>
      </c>
      <c r="M229" s="34">
        <f t="shared" si="10"/>
        <v>300</v>
      </c>
    </row>
    <row r="230" spans="1:13" ht="15" customHeight="1" x14ac:dyDescent="0.2">
      <c r="A230" s="30" t="s">
        <v>45</v>
      </c>
      <c r="B230" s="31" t="s">
        <v>76</v>
      </c>
      <c r="C230" s="8"/>
      <c r="D230" s="32"/>
      <c r="E230" s="32" t="s">
        <v>255</v>
      </c>
      <c r="F230" s="40">
        <v>3</v>
      </c>
      <c r="G230" s="9">
        <v>50.7</v>
      </c>
      <c r="H230" s="10">
        <v>78</v>
      </c>
      <c r="I230" s="10">
        <f t="shared" si="8"/>
        <v>234</v>
      </c>
      <c r="J230" s="11"/>
      <c r="K230" s="11">
        <v>0</v>
      </c>
      <c r="L230" s="74">
        <f t="shared" si="9"/>
        <v>234</v>
      </c>
      <c r="M230" s="34">
        <f t="shared" si="10"/>
        <v>152.10000000000002</v>
      </c>
    </row>
    <row r="231" spans="1:13" ht="15" customHeight="1" x14ac:dyDescent="0.2">
      <c r="A231" s="30" t="s">
        <v>45</v>
      </c>
      <c r="B231" s="31" t="s">
        <v>75</v>
      </c>
      <c r="C231" s="8"/>
      <c r="D231" s="32"/>
      <c r="E231" s="32" t="s">
        <v>254</v>
      </c>
      <c r="F231" s="40">
        <v>4</v>
      </c>
      <c r="G231" s="9">
        <v>188</v>
      </c>
      <c r="H231" s="10">
        <v>228</v>
      </c>
      <c r="I231" s="10">
        <f t="shared" si="8"/>
        <v>912</v>
      </c>
      <c r="J231" s="11"/>
      <c r="K231" s="11">
        <v>0</v>
      </c>
      <c r="L231" s="74">
        <f t="shared" si="9"/>
        <v>912</v>
      </c>
      <c r="M231" s="34">
        <f t="shared" si="10"/>
        <v>752</v>
      </c>
    </row>
    <row r="232" spans="1:13" ht="15" customHeight="1" x14ac:dyDescent="0.2">
      <c r="A232" s="30" t="s">
        <v>45</v>
      </c>
      <c r="B232" s="31" t="s">
        <v>62</v>
      </c>
      <c r="C232" s="8"/>
      <c r="D232" s="32"/>
      <c r="E232" s="32" t="s">
        <v>241</v>
      </c>
      <c r="F232" s="40">
        <v>3</v>
      </c>
      <c r="G232" s="9">
        <v>188</v>
      </c>
      <c r="H232" s="10">
        <v>188</v>
      </c>
      <c r="I232" s="10">
        <f t="shared" si="8"/>
        <v>564</v>
      </c>
      <c r="J232" s="11"/>
      <c r="K232" s="11">
        <v>0</v>
      </c>
      <c r="L232" s="74">
        <f t="shared" si="9"/>
        <v>564</v>
      </c>
      <c r="M232" s="34">
        <f t="shared" si="10"/>
        <v>564</v>
      </c>
    </row>
    <row r="233" spans="1:13" ht="15" customHeight="1" x14ac:dyDescent="0.2">
      <c r="A233" s="30" t="s">
        <v>45</v>
      </c>
      <c r="B233" s="31" t="s">
        <v>125</v>
      </c>
      <c r="C233" s="8"/>
      <c r="D233" s="32"/>
      <c r="E233" s="32" t="s">
        <v>304</v>
      </c>
      <c r="F233" s="40">
        <v>4</v>
      </c>
      <c r="G233" s="9">
        <v>24.7</v>
      </c>
      <c r="H233" s="10">
        <v>38</v>
      </c>
      <c r="I233" s="10">
        <f t="shared" si="8"/>
        <v>152</v>
      </c>
      <c r="J233" s="11"/>
      <c r="K233" s="11">
        <v>0</v>
      </c>
      <c r="L233" s="74">
        <f t="shared" si="9"/>
        <v>152</v>
      </c>
      <c r="M233" s="34">
        <f t="shared" si="10"/>
        <v>98.8</v>
      </c>
    </row>
    <row r="234" spans="1:13" ht="15" customHeight="1" x14ac:dyDescent="0.2">
      <c r="A234" s="30" t="s">
        <v>45</v>
      </c>
      <c r="B234" s="31" t="s">
        <v>95</v>
      </c>
      <c r="C234" s="8"/>
      <c r="D234" s="32"/>
      <c r="E234" s="32" t="s">
        <v>274</v>
      </c>
      <c r="F234" s="40">
        <v>4</v>
      </c>
      <c r="G234" s="9">
        <v>160</v>
      </c>
      <c r="H234" s="10">
        <v>228</v>
      </c>
      <c r="I234" s="10">
        <f t="shared" si="8"/>
        <v>912</v>
      </c>
      <c r="J234" s="11"/>
      <c r="K234" s="11">
        <v>0</v>
      </c>
      <c r="L234" s="74">
        <f t="shared" si="9"/>
        <v>912</v>
      </c>
      <c r="M234" s="34">
        <f t="shared" si="10"/>
        <v>640</v>
      </c>
    </row>
    <row r="235" spans="1:13" ht="15" customHeight="1" x14ac:dyDescent="0.2">
      <c r="A235" s="30" t="s">
        <v>46</v>
      </c>
      <c r="B235" s="31" t="s">
        <v>77</v>
      </c>
      <c r="C235" s="8"/>
      <c r="D235" s="32" t="s">
        <v>215</v>
      </c>
      <c r="E235" s="32" t="s">
        <v>256</v>
      </c>
      <c r="F235" s="40">
        <v>1</v>
      </c>
      <c r="G235" s="9">
        <v>102.7</v>
      </c>
      <c r="H235" s="10">
        <v>248</v>
      </c>
      <c r="I235" s="10">
        <f t="shared" si="8"/>
        <v>248</v>
      </c>
      <c r="J235" s="11"/>
      <c r="K235" s="11">
        <v>0</v>
      </c>
      <c r="L235" s="74">
        <f t="shared" si="9"/>
        <v>248</v>
      </c>
      <c r="M235" s="34">
        <f t="shared" si="10"/>
        <v>102.7</v>
      </c>
    </row>
    <row r="236" spans="1:13" ht="15" customHeight="1" x14ac:dyDescent="0.2">
      <c r="A236" s="30" t="s">
        <v>46</v>
      </c>
      <c r="B236" s="31" t="s">
        <v>54</v>
      </c>
      <c r="C236" s="8"/>
      <c r="D236" s="32" t="s">
        <v>216</v>
      </c>
      <c r="E236" s="32" t="s">
        <v>233</v>
      </c>
      <c r="F236" s="40">
        <v>5</v>
      </c>
      <c r="G236" s="9">
        <v>115.7</v>
      </c>
      <c r="H236" s="10">
        <v>188</v>
      </c>
      <c r="I236" s="10">
        <f t="shared" si="8"/>
        <v>940</v>
      </c>
      <c r="J236" s="11"/>
      <c r="K236" s="11">
        <v>0</v>
      </c>
      <c r="L236" s="74">
        <f t="shared" si="9"/>
        <v>940</v>
      </c>
      <c r="M236" s="34">
        <f t="shared" si="10"/>
        <v>578.5</v>
      </c>
    </row>
    <row r="237" spans="1:13" ht="15" customHeight="1" x14ac:dyDescent="0.2">
      <c r="A237" s="30" t="s">
        <v>46</v>
      </c>
      <c r="B237" s="31" t="s">
        <v>126</v>
      </c>
      <c r="C237" s="8"/>
      <c r="D237" s="32"/>
      <c r="E237" s="32" t="s">
        <v>305</v>
      </c>
      <c r="F237" s="40">
        <v>4</v>
      </c>
      <c r="G237" s="9">
        <v>150</v>
      </c>
      <c r="H237" s="10">
        <v>298</v>
      </c>
      <c r="I237" s="10">
        <f t="shared" si="8"/>
        <v>1192</v>
      </c>
      <c r="J237" s="11"/>
      <c r="K237" s="11">
        <v>0</v>
      </c>
      <c r="L237" s="74">
        <f t="shared" si="9"/>
        <v>1192</v>
      </c>
      <c r="M237" s="34">
        <f t="shared" si="10"/>
        <v>600</v>
      </c>
    </row>
    <row r="238" spans="1:13" ht="15" customHeight="1" x14ac:dyDescent="0.2">
      <c r="A238" s="30" t="s">
        <v>46</v>
      </c>
      <c r="B238" s="31" t="s">
        <v>127</v>
      </c>
      <c r="C238" s="8"/>
      <c r="D238" s="32"/>
      <c r="E238" s="32" t="s">
        <v>306</v>
      </c>
      <c r="F238" s="40">
        <v>2</v>
      </c>
      <c r="G238" s="9">
        <v>40</v>
      </c>
      <c r="H238" s="10">
        <v>60</v>
      </c>
      <c r="I238" s="10">
        <f t="shared" si="8"/>
        <v>120</v>
      </c>
      <c r="J238" s="11"/>
      <c r="K238" s="11">
        <v>20</v>
      </c>
      <c r="L238" s="74">
        <f t="shared" si="9"/>
        <v>100</v>
      </c>
      <c r="M238" s="34">
        <f t="shared" si="10"/>
        <v>80</v>
      </c>
    </row>
    <row r="239" spans="1:13" ht="15" customHeight="1" x14ac:dyDescent="0.2">
      <c r="A239" s="30" t="s">
        <v>46</v>
      </c>
      <c r="B239" s="31" t="s">
        <v>51</v>
      </c>
      <c r="C239" s="8"/>
      <c r="D239" s="32" t="s">
        <v>217</v>
      </c>
      <c r="E239" s="32" t="s">
        <v>230</v>
      </c>
      <c r="F239" s="40">
        <v>1</v>
      </c>
      <c r="G239" s="9">
        <v>180</v>
      </c>
      <c r="H239" s="10">
        <v>228</v>
      </c>
      <c r="I239" s="10">
        <f t="shared" si="8"/>
        <v>228</v>
      </c>
      <c r="J239" s="11"/>
      <c r="K239" s="11">
        <v>0</v>
      </c>
      <c r="L239" s="74">
        <f t="shared" si="9"/>
        <v>228</v>
      </c>
      <c r="M239" s="34">
        <f t="shared" si="10"/>
        <v>180</v>
      </c>
    </row>
    <row r="240" spans="1:13" ht="15" customHeight="1" x14ac:dyDescent="0.2">
      <c r="A240" s="30" t="s">
        <v>46</v>
      </c>
      <c r="B240" s="31" t="s">
        <v>48</v>
      </c>
      <c r="C240" s="8"/>
      <c r="D240" s="32"/>
      <c r="E240" s="32" t="s">
        <v>227</v>
      </c>
      <c r="F240" s="40">
        <v>2</v>
      </c>
      <c r="G240" s="9">
        <v>13</v>
      </c>
      <c r="H240" s="10">
        <v>20</v>
      </c>
      <c r="I240" s="10">
        <f t="shared" si="8"/>
        <v>40</v>
      </c>
      <c r="J240" s="11"/>
      <c r="K240" s="11">
        <v>0</v>
      </c>
      <c r="L240" s="74">
        <f t="shared" si="9"/>
        <v>40</v>
      </c>
      <c r="M240" s="34">
        <f t="shared" si="10"/>
        <v>26</v>
      </c>
    </row>
    <row r="241" spans="1:13" ht="15" customHeight="1" x14ac:dyDescent="0.2">
      <c r="A241" s="30" t="s">
        <v>46</v>
      </c>
      <c r="B241" s="31" t="s">
        <v>84</v>
      </c>
      <c r="C241" s="8"/>
      <c r="D241" s="32"/>
      <c r="E241" s="32" t="s">
        <v>263</v>
      </c>
      <c r="F241" s="40">
        <v>1</v>
      </c>
      <c r="G241" s="9">
        <v>58</v>
      </c>
      <c r="H241" s="10">
        <v>78</v>
      </c>
      <c r="I241" s="10">
        <f t="shared" si="8"/>
        <v>78</v>
      </c>
      <c r="J241" s="11"/>
      <c r="K241" s="11">
        <v>0</v>
      </c>
      <c r="L241" s="74">
        <f t="shared" si="9"/>
        <v>78</v>
      </c>
      <c r="M241" s="34">
        <f t="shared" si="10"/>
        <v>58</v>
      </c>
    </row>
    <row r="242" spans="1:13" ht="15" customHeight="1" x14ac:dyDescent="0.2">
      <c r="A242" s="30" t="s">
        <v>46</v>
      </c>
      <c r="B242" s="31" t="s">
        <v>63</v>
      </c>
      <c r="C242" s="8"/>
      <c r="D242" s="32"/>
      <c r="E242" s="32" t="s">
        <v>242</v>
      </c>
      <c r="F242" s="40">
        <v>1</v>
      </c>
      <c r="G242" s="9">
        <v>5</v>
      </c>
      <c r="H242" s="10">
        <v>10</v>
      </c>
      <c r="I242" s="10">
        <f t="shared" si="8"/>
        <v>10</v>
      </c>
      <c r="J242" s="11"/>
      <c r="K242" s="11">
        <v>0</v>
      </c>
      <c r="L242" s="74">
        <f t="shared" si="9"/>
        <v>10</v>
      </c>
      <c r="M242" s="34">
        <f t="shared" si="10"/>
        <v>5</v>
      </c>
    </row>
    <row r="243" spans="1:13" ht="15" customHeight="1" x14ac:dyDescent="0.2">
      <c r="A243" s="30" t="s">
        <v>46</v>
      </c>
      <c r="B243" s="31" t="s">
        <v>112</v>
      </c>
      <c r="C243" s="8"/>
      <c r="D243" s="32" t="s">
        <v>218</v>
      </c>
      <c r="E243" s="32" t="s">
        <v>291</v>
      </c>
      <c r="F243" s="40">
        <v>1</v>
      </c>
      <c r="G243" s="9">
        <v>58</v>
      </c>
      <c r="H243" s="10">
        <v>78</v>
      </c>
      <c r="I243" s="10">
        <f t="shared" si="8"/>
        <v>78</v>
      </c>
      <c r="J243" s="11"/>
      <c r="K243" s="11">
        <v>0</v>
      </c>
      <c r="L243" s="74">
        <f t="shared" si="9"/>
        <v>78</v>
      </c>
      <c r="M243" s="34">
        <f t="shared" si="10"/>
        <v>58</v>
      </c>
    </row>
    <row r="244" spans="1:13" ht="15" customHeight="1" x14ac:dyDescent="0.2">
      <c r="A244" s="30" t="s">
        <v>46</v>
      </c>
      <c r="B244" s="31" t="s">
        <v>63</v>
      </c>
      <c r="C244" s="8"/>
      <c r="D244" s="32"/>
      <c r="E244" s="32" t="s">
        <v>242</v>
      </c>
      <c r="F244" s="40">
        <v>1</v>
      </c>
      <c r="G244" s="9">
        <v>5</v>
      </c>
      <c r="H244" s="10">
        <v>10</v>
      </c>
      <c r="I244" s="10">
        <f t="shared" si="8"/>
        <v>10</v>
      </c>
      <c r="J244" s="11"/>
      <c r="K244" s="11">
        <v>4</v>
      </c>
      <c r="L244" s="74">
        <f t="shared" si="9"/>
        <v>6</v>
      </c>
      <c r="M244" s="34">
        <f t="shared" si="10"/>
        <v>5</v>
      </c>
    </row>
    <row r="245" spans="1:13" ht="15" customHeight="1" x14ac:dyDescent="0.2">
      <c r="A245" s="30" t="s">
        <v>46</v>
      </c>
      <c r="B245" s="31" t="s">
        <v>90</v>
      </c>
      <c r="C245" s="8"/>
      <c r="D245" s="32" t="s">
        <v>219</v>
      </c>
      <c r="E245" s="32" t="s">
        <v>269</v>
      </c>
      <c r="F245" s="40">
        <v>1</v>
      </c>
      <c r="G245" s="9">
        <v>421.2</v>
      </c>
      <c r="H245" s="10">
        <v>648</v>
      </c>
      <c r="I245" s="10">
        <f t="shared" si="8"/>
        <v>648</v>
      </c>
      <c r="J245" s="11"/>
      <c r="K245" s="11">
        <v>0</v>
      </c>
      <c r="L245" s="74">
        <f t="shared" si="9"/>
        <v>648</v>
      </c>
      <c r="M245" s="34">
        <f t="shared" si="10"/>
        <v>421.2</v>
      </c>
    </row>
    <row r="246" spans="1:13" ht="15" customHeight="1" x14ac:dyDescent="0.2">
      <c r="A246" s="30" t="s">
        <v>46</v>
      </c>
      <c r="B246" s="31" t="s">
        <v>94</v>
      </c>
      <c r="C246" s="8"/>
      <c r="D246" s="32" t="s">
        <v>220</v>
      </c>
      <c r="E246" s="32" t="s">
        <v>273</v>
      </c>
      <c r="F246" s="40">
        <v>1</v>
      </c>
      <c r="G246" s="9">
        <v>291.2</v>
      </c>
      <c r="H246" s="10">
        <v>448</v>
      </c>
      <c r="I246" s="10">
        <f t="shared" si="8"/>
        <v>448</v>
      </c>
      <c r="J246" s="11"/>
      <c r="K246" s="11">
        <v>0</v>
      </c>
      <c r="L246" s="74">
        <f t="shared" si="9"/>
        <v>448</v>
      </c>
      <c r="M246" s="34">
        <f t="shared" si="10"/>
        <v>291.2</v>
      </c>
    </row>
    <row r="247" spans="1:13" ht="15" customHeight="1" x14ac:dyDescent="0.2">
      <c r="A247" s="30" t="s">
        <v>46</v>
      </c>
      <c r="B247" s="31" t="s">
        <v>47</v>
      </c>
      <c r="C247" s="8"/>
      <c r="D247" s="32" t="s">
        <v>221</v>
      </c>
      <c r="E247" s="32" t="s">
        <v>226</v>
      </c>
      <c r="F247" s="40">
        <v>1</v>
      </c>
      <c r="G247" s="9">
        <v>115.7</v>
      </c>
      <c r="H247" s="10">
        <v>188</v>
      </c>
      <c r="I247" s="10">
        <f t="shared" si="8"/>
        <v>188</v>
      </c>
      <c r="J247" s="11"/>
      <c r="K247" s="11">
        <v>0</v>
      </c>
      <c r="L247" s="74">
        <f t="shared" si="9"/>
        <v>188</v>
      </c>
      <c r="M247" s="34">
        <f t="shared" si="10"/>
        <v>115.7</v>
      </c>
    </row>
    <row r="248" spans="1:13" ht="15" customHeight="1" x14ac:dyDescent="0.2">
      <c r="A248" s="30" t="s">
        <v>46</v>
      </c>
      <c r="B248" s="31" t="s">
        <v>128</v>
      </c>
      <c r="C248" s="8"/>
      <c r="D248" s="32"/>
      <c r="E248" s="32" t="s">
        <v>307</v>
      </c>
      <c r="F248" s="40">
        <v>1</v>
      </c>
      <c r="G248" s="9">
        <v>83.2</v>
      </c>
      <c r="H248" s="10">
        <v>138</v>
      </c>
      <c r="I248" s="10">
        <f t="shared" si="8"/>
        <v>138</v>
      </c>
      <c r="J248" s="11"/>
      <c r="K248" s="11">
        <v>0</v>
      </c>
      <c r="L248" s="74">
        <f t="shared" si="9"/>
        <v>138</v>
      </c>
      <c r="M248" s="34">
        <f t="shared" si="10"/>
        <v>83.2</v>
      </c>
    </row>
    <row r="249" spans="1:13" ht="15" customHeight="1" x14ac:dyDescent="0.2">
      <c r="A249" s="30" t="s">
        <v>46</v>
      </c>
      <c r="B249" s="31" t="s">
        <v>63</v>
      </c>
      <c r="C249" s="8"/>
      <c r="D249" s="32"/>
      <c r="E249" s="32" t="s">
        <v>242</v>
      </c>
      <c r="F249" s="40">
        <v>1</v>
      </c>
      <c r="G249" s="9">
        <v>5</v>
      </c>
      <c r="H249" s="10">
        <v>10</v>
      </c>
      <c r="I249" s="10">
        <f t="shared" si="8"/>
        <v>10</v>
      </c>
      <c r="J249" s="11"/>
      <c r="K249" s="11">
        <v>0</v>
      </c>
      <c r="L249" s="74">
        <f t="shared" si="9"/>
        <v>10</v>
      </c>
      <c r="M249" s="34">
        <f t="shared" si="10"/>
        <v>5</v>
      </c>
    </row>
    <row r="250" spans="1:13" ht="15" customHeight="1" x14ac:dyDescent="0.2">
      <c r="A250" s="30" t="s">
        <v>46</v>
      </c>
      <c r="B250" s="31" t="s">
        <v>96</v>
      </c>
      <c r="C250" s="8"/>
      <c r="D250" s="32" t="s">
        <v>222</v>
      </c>
      <c r="E250" s="32" t="s">
        <v>275</v>
      </c>
      <c r="F250" s="40">
        <v>30</v>
      </c>
      <c r="G250" s="9">
        <v>12</v>
      </c>
      <c r="H250" s="10">
        <v>18</v>
      </c>
      <c r="I250" s="10">
        <f t="shared" si="8"/>
        <v>540</v>
      </c>
      <c r="J250" s="11"/>
      <c r="K250" s="11">
        <v>0</v>
      </c>
      <c r="L250" s="74">
        <f t="shared" si="9"/>
        <v>540</v>
      </c>
      <c r="M250" s="34">
        <f t="shared" si="10"/>
        <v>360</v>
      </c>
    </row>
    <row r="251" spans="1:13" ht="15" customHeight="1" x14ac:dyDescent="0.2">
      <c r="A251" s="30" t="s">
        <v>46</v>
      </c>
      <c r="B251" s="31" t="s">
        <v>90</v>
      </c>
      <c r="C251" s="8"/>
      <c r="D251" s="32"/>
      <c r="E251" s="32" t="s">
        <v>269</v>
      </c>
      <c r="F251" s="40">
        <v>1</v>
      </c>
      <c r="G251" s="9">
        <v>421.2</v>
      </c>
      <c r="H251" s="10">
        <v>648</v>
      </c>
      <c r="I251" s="10">
        <f t="shared" si="8"/>
        <v>648</v>
      </c>
      <c r="J251" s="11"/>
      <c r="K251" s="11">
        <v>0</v>
      </c>
      <c r="L251" s="74">
        <f t="shared" si="9"/>
        <v>648</v>
      </c>
      <c r="M251" s="34">
        <f t="shared" si="10"/>
        <v>421.2</v>
      </c>
    </row>
    <row r="252" spans="1:13" ht="15" customHeight="1" x14ac:dyDescent="0.2">
      <c r="A252" s="30" t="s">
        <v>46</v>
      </c>
      <c r="B252" s="31" t="s">
        <v>77</v>
      </c>
      <c r="C252" s="8"/>
      <c r="D252" s="32" t="s">
        <v>223</v>
      </c>
      <c r="E252" s="32" t="s">
        <v>256</v>
      </c>
      <c r="F252" s="40">
        <v>3</v>
      </c>
      <c r="G252" s="9">
        <v>102.7</v>
      </c>
      <c r="H252" s="10">
        <v>248</v>
      </c>
      <c r="I252" s="10">
        <f t="shared" si="8"/>
        <v>744</v>
      </c>
      <c r="J252" s="11"/>
      <c r="K252" s="11">
        <v>0</v>
      </c>
      <c r="L252" s="74">
        <f t="shared" si="9"/>
        <v>744</v>
      </c>
      <c r="M252" s="34">
        <f t="shared" si="10"/>
        <v>308.10000000000002</v>
      </c>
    </row>
    <row r="253" spans="1:13" ht="15" customHeight="1" x14ac:dyDescent="0.2">
      <c r="A253" s="30" t="s">
        <v>46</v>
      </c>
      <c r="B253" s="31" t="s">
        <v>48</v>
      </c>
      <c r="C253" s="8"/>
      <c r="D253" s="32"/>
      <c r="E253" s="32" t="s">
        <v>227</v>
      </c>
      <c r="F253" s="40">
        <v>2</v>
      </c>
      <c r="G253" s="9">
        <v>13</v>
      </c>
      <c r="H253" s="10">
        <v>20</v>
      </c>
      <c r="I253" s="10">
        <f t="shared" si="8"/>
        <v>40</v>
      </c>
      <c r="J253" s="11"/>
      <c r="K253" s="11">
        <v>0</v>
      </c>
      <c r="L253" s="74">
        <f t="shared" si="9"/>
        <v>40</v>
      </c>
      <c r="M253" s="34">
        <f t="shared" si="10"/>
        <v>26</v>
      </c>
    </row>
    <row r="254" spans="1:13" ht="15" customHeight="1" x14ac:dyDescent="0.2">
      <c r="A254" s="30" t="s">
        <v>46</v>
      </c>
      <c r="B254" s="31" t="s">
        <v>93</v>
      </c>
      <c r="C254" s="8"/>
      <c r="D254" s="32" t="s">
        <v>224</v>
      </c>
      <c r="E254" s="32" t="s">
        <v>272</v>
      </c>
      <c r="F254" s="40">
        <v>1</v>
      </c>
      <c r="G254" s="9">
        <v>421.2</v>
      </c>
      <c r="H254" s="10">
        <v>648</v>
      </c>
      <c r="I254" s="10">
        <f t="shared" si="8"/>
        <v>648</v>
      </c>
      <c r="J254" s="11"/>
      <c r="K254" s="11">
        <v>0</v>
      </c>
      <c r="L254" s="74">
        <f t="shared" si="9"/>
        <v>648</v>
      </c>
      <c r="M254" s="34">
        <f t="shared" si="10"/>
        <v>421.2</v>
      </c>
    </row>
    <row r="255" spans="1:13" ht="15" customHeight="1" x14ac:dyDescent="0.2">
      <c r="A255" s="30" t="s">
        <v>46</v>
      </c>
      <c r="B255" s="31" t="s">
        <v>129</v>
      </c>
      <c r="C255" s="8"/>
      <c r="D255" s="32" t="s">
        <v>225</v>
      </c>
      <c r="E255" s="32" t="s">
        <v>308</v>
      </c>
      <c r="F255" s="40">
        <v>20</v>
      </c>
      <c r="G255" s="9">
        <v>11</v>
      </c>
      <c r="H255" s="10">
        <v>18</v>
      </c>
      <c r="I255" s="10">
        <f t="shared" si="8"/>
        <v>360</v>
      </c>
      <c r="J255" s="11"/>
      <c r="K255" s="11">
        <v>0</v>
      </c>
      <c r="L255" s="74">
        <f t="shared" si="9"/>
        <v>360</v>
      </c>
      <c r="M255" s="34">
        <f t="shared" si="10"/>
        <v>220</v>
      </c>
    </row>
    <row r="256" spans="1:13" ht="15" customHeight="1" x14ac:dyDescent="0.2">
      <c r="A256" s="30" t="s">
        <v>480</v>
      </c>
      <c r="B256" s="31" t="s">
        <v>49</v>
      </c>
      <c r="C256" s="8"/>
      <c r="D256" s="32" t="s">
        <v>487</v>
      </c>
      <c r="E256" s="32" t="s">
        <v>228</v>
      </c>
      <c r="F256" s="40">
        <v>1</v>
      </c>
      <c r="G256" s="9">
        <v>58</v>
      </c>
      <c r="H256" s="10">
        <v>88</v>
      </c>
      <c r="I256" s="10">
        <f t="shared" si="8"/>
        <v>88</v>
      </c>
      <c r="J256" s="11"/>
      <c r="K256" s="11">
        <v>0</v>
      </c>
      <c r="L256" s="74">
        <f t="shared" si="9"/>
        <v>88</v>
      </c>
      <c r="M256" s="34">
        <f t="shared" si="10"/>
        <v>58</v>
      </c>
    </row>
    <row r="257" spans="1:13" ht="15" customHeight="1" x14ac:dyDescent="0.2">
      <c r="A257" s="30" t="s">
        <v>480</v>
      </c>
      <c r="B257" s="31" t="s">
        <v>55</v>
      </c>
      <c r="C257" s="8"/>
      <c r="D257" s="32"/>
      <c r="E257" s="32" t="s">
        <v>234</v>
      </c>
      <c r="F257" s="40">
        <v>1</v>
      </c>
      <c r="G257" s="9">
        <v>63.7</v>
      </c>
      <c r="H257" s="10">
        <v>228</v>
      </c>
      <c r="I257" s="10">
        <f t="shared" si="8"/>
        <v>228</v>
      </c>
      <c r="J257" s="11"/>
      <c r="K257" s="11">
        <v>0</v>
      </c>
      <c r="L257" s="74">
        <f t="shared" si="9"/>
        <v>228</v>
      </c>
      <c r="M257" s="34">
        <f t="shared" si="10"/>
        <v>63.7</v>
      </c>
    </row>
    <row r="258" spans="1:13" ht="15" customHeight="1" x14ac:dyDescent="0.2">
      <c r="A258" s="30" t="s">
        <v>480</v>
      </c>
      <c r="B258" s="31" t="s">
        <v>48</v>
      </c>
      <c r="C258" s="8"/>
      <c r="D258" s="32"/>
      <c r="E258" s="32" t="s">
        <v>227</v>
      </c>
      <c r="F258" s="40">
        <v>2</v>
      </c>
      <c r="G258" s="9">
        <v>13</v>
      </c>
      <c r="H258" s="10">
        <v>20</v>
      </c>
      <c r="I258" s="10">
        <f t="shared" si="8"/>
        <v>40</v>
      </c>
      <c r="J258" s="11"/>
      <c r="K258" s="11">
        <v>0</v>
      </c>
      <c r="L258" s="74">
        <f t="shared" si="9"/>
        <v>40</v>
      </c>
      <c r="M258" s="34">
        <f t="shared" si="10"/>
        <v>26</v>
      </c>
    </row>
    <row r="259" spans="1:13" ht="15" customHeight="1" x14ac:dyDescent="0.2">
      <c r="A259" s="30" t="s">
        <v>480</v>
      </c>
      <c r="B259" s="31" t="s">
        <v>63</v>
      </c>
      <c r="C259" s="8"/>
      <c r="D259" s="32"/>
      <c r="E259" s="32" t="s">
        <v>242</v>
      </c>
      <c r="F259" s="40">
        <v>2</v>
      </c>
      <c r="G259" s="9">
        <v>5</v>
      </c>
      <c r="H259" s="10">
        <v>10</v>
      </c>
      <c r="I259" s="10">
        <f t="shared" si="8"/>
        <v>20</v>
      </c>
      <c r="J259" s="11"/>
      <c r="K259" s="11">
        <v>0</v>
      </c>
      <c r="L259" s="74">
        <f t="shared" si="9"/>
        <v>20</v>
      </c>
      <c r="M259" s="34">
        <f t="shared" si="10"/>
        <v>10</v>
      </c>
    </row>
    <row r="260" spans="1:13" ht="15" customHeight="1" x14ac:dyDescent="0.2">
      <c r="A260" s="30" t="s">
        <v>480</v>
      </c>
      <c r="B260" s="31" t="s">
        <v>82</v>
      </c>
      <c r="C260" s="8"/>
      <c r="D260" s="32" t="s">
        <v>488</v>
      </c>
      <c r="E260" s="32" t="s">
        <v>261</v>
      </c>
      <c r="F260" s="40">
        <v>1</v>
      </c>
      <c r="G260" s="9">
        <v>158</v>
      </c>
      <c r="H260" s="10">
        <v>258</v>
      </c>
      <c r="I260" s="10">
        <f t="shared" si="8"/>
        <v>258</v>
      </c>
      <c r="J260" s="11"/>
      <c r="K260" s="11">
        <v>0</v>
      </c>
      <c r="L260" s="74">
        <f t="shared" si="9"/>
        <v>258</v>
      </c>
      <c r="M260" s="34">
        <f t="shared" si="10"/>
        <v>158</v>
      </c>
    </row>
    <row r="261" spans="1:13" ht="15" customHeight="1" x14ac:dyDescent="0.2">
      <c r="A261" s="30" t="s">
        <v>480</v>
      </c>
      <c r="B261" s="31" t="s">
        <v>94</v>
      </c>
      <c r="C261" s="8"/>
      <c r="D261" s="32" t="s">
        <v>489</v>
      </c>
      <c r="E261" s="32" t="s">
        <v>273</v>
      </c>
      <c r="F261" s="40">
        <v>2</v>
      </c>
      <c r="G261" s="9">
        <v>291.2</v>
      </c>
      <c r="H261" s="10">
        <v>448</v>
      </c>
      <c r="I261" s="10">
        <f t="shared" si="8"/>
        <v>896</v>
      </c>
      <c r="J261" s="11"/>
      <c r="K261" s="11">
        <v>0</v>
      </c>
      <c r="L261" s="74">
        <f t="shared" si="9"/>
        <v>896</v>
      </c>
      <c r="M261" s="34">
        <f t="shared" si="10"/>
        <v>582.4</v>
      </c>
    </row>
    <row r="262" spans="1:13" ht="15" customHeight="1" x14ac:dyDescent="0.2">
      <c r="A262" s="30" t="s">
        <v>480</v>
      </c>
      <c r="B262" s="31" t="s">
        <v>70</v>
      </c>
      <c r="C262" s="8"/>
      <c r="D262" s="32" t="s">
        <v>490</v>
      </c>
      <c r="E262" s="32" t="s">
        <v>249</v>
      </c>
      <c r="F262" s="40">
        <v>1</v>
      </c>
      <c r="G262" s="9">
        <v>40</v>
      </c>
      <c r="H262" s="10">
        <v>50</v>
      </c>
      <c r="I262" s="10">
        <f t="shared" si="8"/>
        <v>50</v>
      </c>
      <c r="J262" s="11"/>
      <c r="K262" s="11">
        <v>0</v>
      </c>
      <c r="L262" s="74">
        <f t="shared" si="9"/>
        <v>50</v>
      </c>
      <c r="M262" s="34">
        <f t="shared" si="10"/>
        <v>40</v>
      </c>
    </row>
    <row r="263" spans="1:13" ht="15" customHeight="1" x14ac:dyDescent="0.2">
      <c r="A263" s="30" t="s">
        <v>480</v>
      </c>
      <c r="B263" s="31" t="s">
        <v>77</v>
      </c>
      <c r="C263" s="8"/>
      <c r="D263" s="32" t="s">
        <v>491</v>
      </c>
      <c r="E263" s="32" t="s">
        <v>256</v>
      </c>
      <c r="F263" s="40">
        <v>2</v>
      </c>
      <c r="G263" s="9">
        <v>102.7</v>
      </c>
      <c r="H263" s="10">
        <v>248</v>
      </c>
      <c r="I263" s="10">
        <f t="shared" ref="I263:I326" si="11">F263*H263</f>
        <v>496</v>
      </c>
      <c r="J263" s="11"/>
      <c r="K263" s="11">
        <v>0</v>
      </c>
      <c r="L263" s="74">
        <f t="shared" ref="L263:L326" si="12">I263-K263</f>
        <v>496</v>
      </c>
      <c r="M263" s="34">
        <f t="shared" si="10"/>
        <v>205.4</v>
      </c>
    </row>
    <row r="264" spans="1:13" ht="15" customHeight="1" x14ac:dyDescent="0.2">
      <c r="A264" s="30" t="s">
        <v>480</v>
      </c>
      <c r="B264" s="31" t="s">
        <v>117</v>
      </c>
      <c r="C264" s="8"/>
      <c r="D264" s="32" t="s">
        <v>492</v>
      </c>
      <c r="E264" s="32" t="s">
        <v>296</v>
      </c>
      <c r="F264" s="40">
        <v>1</v>
      </c>
      <c r="G264" s="9">
        <v>291.2</v>
      </c>
      <c r="H264" s="10">
        <v>448</v>
      </c>
      <c r="I264" s="10">
        <f t="shared" si="11"/>
        <v>448</v>
      </c>
      <c r="J264" s="11"/>
      <c r="K264" s="11">
        <v>0</v>
      </c>
      <c r="L264" s="74">
        <f t="shared" si="12"/>
        <v>448</v>
      </c>
      <c r="M264" s="34">
        <f t="shared" si="10"/>
        <v>291.2</v>
      </c>
    </row>
    <row r="265" spans="1:13" ht="15" customHeight="1" x14ac:dyDescent="0.2">
      <c r="A265" s="30" t="s">
        <v>480</v>
      </c>
      <c r="B265" s="31" t="s">
        <v>82</v>
      </c>
      <c r="C265" s="8"/>
      <c r="D265" s="32" t="s">
        <v>493</v>
      </c>
      <c r="E265" s="32" t="s">
        <v>261</v>
      </c>
      <c r="F265" s="40">
        <v>1</v>
      </c>
      <c r="G265" s="9">
        <v>158</v>
      </c>
      <c r="H265" s="10">
        <v>258</v>
      </c>
      <c r="I265" s="10">
        <f t="shared" si="11"/>
        <v>258</v>
      </c>
      <c r="J265" s="11"/>
      <c r="K265" s="11">
        <v>0</v>
      </c>
      <c r="L265" s="74">
        <f t="shared" si="12"/>
        <v>258</v>
      </c>
      <c r="M265" s="34">
        <f t="shared" si="10"/>
        <v>158</v>
      </c>
    </row>
    <row r="266" spans="1:13" ht="15" customHeight="1" x14ac:dyDescent="0.2">
      <c r="A266" s="30" t="s">
        <v>480</v>
      </c>
      <c r="B266" s="31" t="s">
        <v>50</v>
      </c>
      <c r="C266" s="8"/>
      <c r="D266" s="32" t="s">
        <v>494</v>
      </c>
      <c r="E266" s="32" t="s">
        <v>229</v>
      </c>
      <c r="F266" s="40">
        <v>3</v>
      </c>
      <c r="G266" s="9">
        <v>44.2</v>
      </c>
      <c r="H266" s="10">
        <v>78</v>
      </c>
      <c r="I266" s="10">
        <f t="shared" si="11"/>
        <v>234</v>
      </c>
      <c r="J266" s="11"/>
      <c r="K266" s="11">
        <v>0</v>
      </c>
      <c r="L266" s="74">
        <f t="shared" si="12"/>
        <v>234</v>
      </c>
      <c r="M266" s="34">
        <f t="shared" si="10"/>
        <v>132.60000000000002</v>
      </c>
    </row>
    <row r="267" spans="1:13" ht="15" customHeight="1" x14ac:dyDescent="0.2">
      <c r="A267" s="30" t="s">
        <v>480</v>
      </c>
      <c r="B267" s="31" t="s">
        <v>83</v>
      </c>
      <c r="C267" s="8"/>
      <c r="D267" s="32"/>
      <c r="E267" s="32" t="s">
        <v>262</v>
      </c>
      <c r="F267" s="40">
        <v>1</v>
      </c>
      <c r="G267" s="9">
        <v>96.2</v>
      </c>
      <c r="H267" s="10">
        <v>248</v>
      </c>
      <c r="I267" s="10">
        <f t="shared" si="11"/>
        <v>248</v>
      </c>
      <c r="J267" s="11"/>
      <c r="K267" s="11">
        <v>0</v>
      </c>
      <c r="L267" s="74">
        <f t="shared" si="12"/>
        <v>248</v>
      </c>
      <c r="M267" s="34">
        <f t="shared" si="10"/>
        <v>96.2</v>
      </c>
    </row>
    <row r="268" spans="1:13" ht="15" customHeight="1" x14ac:dyDescent="0.2">
      <c r="A268" s="30" t="s">
        <v>481</v>
      </c>
      <c r="B268" s="31" t="s">
        <v>56</v>
      </c>
      <c r="C268" s="8"/>
      <c r="D268" s="32" t="s">
        <v>495</v>
      </c>
      <c r="E268" s="32" t="s">
        <v>235</v>
      </c>
      <c r="F268" s="40">
        <v>1</v>
      </c>
      <c r="G268" s="9">
        <v>421.2</v>
      </c>
      <c r="H268" s="10">
        <v>648</v>
      </c>
      <c r="I268" s="10">
        <f t="shared" si="11"/>
        <v>648</v>
      </c>
      <c r="J268" s="11"/>
      <c r="K268" s="11">
        <v>0</v>
      </c>
      <c r="L268" s="74">
        <f t="shared" si="12"/>
        <v>648</v>
      </c>
      <c r="M268" s="34">
        <f t="shared" si="10"/>
        <v>421.2</v>
      </c>
    </row>
    <row r="269" spans="1:13" ht="15" customHeight="1" x14ac:dyDescent="0.2">
      <c r="A269" s="30" t="s">
        <v>481</v>
      </c>
      <c r="B269" s="31" t="s">
        <v>65</v>
      </c>
      <c r="C269" s="8"/>
      <c r="D269" s="32" t="s">
        <v>496</v>
      </c>
      <c r="E269" s="32" t="s">
        <v>244</v>
      </c>
      <c r="F269" s="40">
        <v>2</v>
      </c>
      <c r="G269" s="9">
        <v>65</v>
      </c>
      <c r="H269" s="10">
        <v>128</v>
      </c>
      <c r="I269" s="10">
        <f t="shared" si="11"/>
        <v>256</v>
      </c>
      <c r="J269" s="11"/>
      <c r="K269" s="11">
        <v>0</v>
      </c>
      <c r="L269" s="74">
        <f t="shared" si="12"/>
        <v>256</v>
      </c>
      <c r="M269" s="34">
        <f t="shared" si="10"/>
        <v>130</v>
      </c>
    </row>
    <row r="270" spans="1:13" ht="15" customHeight="1" x14ac:dyDescent="0.2">
      <c r="A270" s="30" t="s">
        <v>481</v>
      </c>
      <c r="B270" s="31" t="s">
        <v>105</v>
      </c>
      <c r="C270" s="8"/>
      <c r="D270" s="32"/>
      <c r="E270" s="32" t="s">
        <v>284</v>
      </c>
      <c r="F270" s="40">
        <v>3</v>
      </c>
      <c r="G270" s="9">
        <v>83.2</v>
      </c>
      <c r="H270" s="10">
        <v>128</v>
      </c>
      <c r="I270" s="10">
        <f t="shared" si="11"/>
        <v>384</v>
      </c>
      <c r="J270" s="11"/>
      <c r="K270" s="11">
        <v>0</v>
      </c>
      <c r="L270" s="74">
        <f t="shared" si="12"/>
        <v>384</v>
      </c>
      <c r="M270" s="34">
        <f t="shared" si="10"/>
        <v>249.60000000000002</v>
      </c>
    </row>
    <row r="271" spans="1:13" ht="15" customHeight="1" x14ac:dyDescent="0.2">
      <c r="A271" s="30" t="s">
        <v>481</v>
      </c>
      <c r="B271" s="31" t="s">
        <v>72</v>
      </c>
      <c r="C271" s="8"/>
      <c r="D271" s="32"/>
      <c r="E271" s="32" t="s">
        <v>251</v>
      </c>
      <c r="F271" s="40">
        <v>1</v>
      </c>
      <c r="G271" s="9">
        <v>83.2</v>
      </c>
      <c r="H271" s="10">
        <v>128</v>
      </c>
      <c r="I271" s="10">
        <f t="shared" si="11"/>
        <v>128</v>
      </c>
      <c r="J271" s="11"/>
      <c r="K271" s="11">
        <v>0</v>
      </c>
      <c r="L271" s="74">
        <f t="shared" si="12"/>
        <v>128</v>
      </c>
      <c r="M271" s="34">
        <f t="shared" si="10"/>
        <v>83.2</v>
      </c>
    </row>
    <row r="272" spans="1:13" ht="15" customHeight="1" x14ac:dyDescent="0.2">
      <c r="A272" s="30" t="s">
        <v>481</v>
      </c>
      <c r="B272" s="31" t="s">
        <v>125</v>
      </c>
      <c r="C272" s="8"/>
      <c r="D272" s="32"/>
      <c r="E272" s="32" t="s">
        <v>304</v>
      </c>
      <c r="F272" s="40">
        <v>4</v>
      </c>
      <c r="G272" s="9">
        <v>24.7</v>
      </c>
      <c r="H272" s="10">
        <v>38</v>
      </c>
      <c r="I272" s="10">
        <f t="shared" si="11"/>
        <v>152</v>
      </c>
      <c r="J272" s="11"/>
      <c r="K272" s="11">
        <v>14</v>
      </c>
      <c r="L272" s="74">
        <f t="shared" si="12"/>
        <v>138</v>
      </c>
      <c r="M272" s="34">
        <f t="shared" si="10"/>
        <v>98.8</v>
      </c>
    </row>
    <row r="273" spans="1:13" ht="15" customHeight="1" x14ac:dyDescent="0.2">
      <c r="A273" s="30" t="s">
        <v>481</v>
      </c>
      <c r="B273" s="31" t="s">
        <v>47</v>
      </c>
      <c r="C273" s="8"/>
      <c r="D273" s="32" t="s">
        <v>497</v>
      </c>
      <c r="E273" s="32" t="s">
        <v>226</v>
      </c>
      <c r="F273" s="40">
        <v>1</v>
      </c>
      <c r="G273" s="9">
        <v>115.7</v>
      </c>
      <c r="H273" s="10">
        <v>188</v>
      </c>
      <c r="I273" s="10">
        <f t="shared" si="11"/>
        <v>188</v>
      </c>
      <c r="J273" s="11"/>
      <c r="K273" s="11">
        <v>0</v>
      </c>
      <c r="L273" s="74">
        <f t="shared" si="12"/>
        <v>188</v>
      </c>
      <c r="M273" s="34">
        <f t="shared" si="10"/>
        <v>115.7</v>
      </c>
    </row>
    <row r="274" spans="1:13" ht="15" customHeight="1" x14ac:dyDescent="0.2">
      <c r="A274" s="30" t="s">
        <v>481</v>
      </c>
      <c r="B274" s="31" t="s">
        <v>55</v>
      </c>
      <c r="C274" s="8"/>
      <c r="D274" s="32"/>
      <c r="E274" s="32" t="s">
        <v>234</v>
      </c>
      <c r="F274" s="40">
        <v>1</v>
      </c>
      <c r="G274" s="9">
        <v>63.7</v>
      </c>
      <c r="H274" s="10">
        <v>228</v>
      </c>
      <c r="I274" s="10">
        <f t="shared" si="11"/>
        <v>228</v>
      </c>
      <c r="J274" s="11"/>
      <c r="K274" s="11">
        <v>0</v>
      </c>
      <c r="L274" s="74">
        <f t="shared" si="12"/>
        <v>228</v>
      </c>
      <c r="M274" s="34">
        <f t="shared" si="10"/>
        <v>63.7</v>
      </c>
    </row>
    <row r="275" spans="1:13" ht="15" customHeight="1" x14ac:dyDescent="0.2">
      <c r="A275" s="30" t="s">
        <v>481</v>
      </c>
      <c r="B275" s="31" t="s">
        <v>79</v>
      </c>
      <c r="C275" s="8"/>
      <c r="D275" s="32"/>
      <c r="E275" s="32" t="s">
        <v>258</v>
      </c>
      <c r="F275" s="40">
        <v>1</v>
      </c>
      <c r="G275" s="9">
        <v>122.2</v>
      </c>
      <c r="H275" s="10">
        <v>228</v>
      </c>
      <c r="I275" s="10">
        <f t="shared" si="11"/>
        <v>228</v>
      </c>
      <c r="J275" s="11"/>
      <c r="K275" s="11">
        <v>0</v>
      </c>
      <c r="L275" s="74">
        <f t="shared" si="12"/>
        <v>228</v>
      </c>
      <c r="M275" s="34">
        <f t="shared" si="10"/>
        <v>122.2</v>
      </c>
    </row>
    <row r="276" spans="1:13" ht="15" customHeight="1" x14ac:dyDescent="0.2">
      <c r="A276" s="30" t="s">
        <v>481</v>
      </c>
      <c r="B276" s="31" t="s">
        <v>82</v>
      </c>
      <c r="C276" s="8"/>
      <c r="D276" s="32" t="s">
        <v>498</v>
      </c>
      <c r="E276" s="32" t="s">
        <v>261</v>
      </c>
      <c r="F276" s="40">
        <v>1</v>
      </c>
      <c r="G276" s="9">
        <v>158</v>
      </c>
      <c r="H276" s="10">
        <v>258</v>
      </c>
      <c r="I276" s="10">
        <f t="shared" si="11"/>
        <v>258</v>
      </c>
      <c r="J276" s="11"/>
      <c r="K276" s="11">
        <v>0</v>
      </c>
      <c r="L276" s="74">
        <f t="shared" si="12"/>
        <v>258</v>
      </c>
      <c r="M276" s="34">
        <f t="shared" si="10"/>
        <v>158</v>
      </c>
    </row>
    <row r="277" spans="1:13" ht="15" customHeight="1" x14ac:dyDescent="0.2">
      <c r="A277" s="30" t="s">
        <v>481</v>
      </c>
      <c r="B277" s="31" t="s">
        <v>49</v>
      </c>
      <c r="C277" s="8"/>
      <c r="D277" s="32" t="s">
        <v>499</v>
      </c>
      <c r="E277" s="32" t="s">
        <v>228</v>
      </c>
      <c r="F277" s="40">
        <v>1</v>
      </c>
      <c r="G277" s="9">
        <v>58</v>
      </c>
      <c r="H277" s="10">
        <v>88</v>
      </c>
      <c r="I277" s="10">
        <f t="shared" si="11"/>
        <v>88</v>
      </c>
      <c r="J277" s="11"/>
      <c r="K277" s="11">
        <v>0</v>
      </c>
      <c r="L277" s="74">
        <f t="shared" si="12"/>
        <v>88</v>
      </c>
      <c r="M277" s="34">
        <f t="shared" si="10"/>
        <v>58</v>
      </c>
    </row>
    <row r="278" spans="1:13" ht="15" customHeight="1" x14ac:dyDescent="0.2">
      <c r="A278" s="30" t="s">
        <v>481</v>
      </c>
      <c r="B278" s="31" t="s">
        <v>54</v>
      </c>
      <c r="C278" s="8"/>
      <c r="D278" s="32"/>
      <c r="E278" s="32" t="s">
        <v>233</v>
      </c>
      <c r="F278" s="40">
        <v>1</v>
      </c>
      <c r="G278" s="9">
        <v>115.7</v>
      </c>
      <c r="H278" s="10">
        <v>188</v>
      </c>
      <c r="I278" s="10">
        <f t="shared" si="11"/>
        <v>188</v>
      </c>
      <c r="J278" s="11"/>
      <c r="K278" s="11">
        <v>0</v>
      </c>
      <c r="L278" s="74">
        <f t="shared" si="12"/>
        <v>188</v>
      </c>
      <c r="M278" s="34">
        <f t="shared" si="10"/>
        <v>115.7</v>
      </c>
    </row>
    <row r="279" spans="1:13" ht="15" customHeight="1" x14ac:dyDescent="0.2">
      <c r="A279" s="30" t="s">
        <v>481</v>
      </c>
      <c r="B279" s="31" t="s">
        <v>48</v>
      </c>
      <c r="C279" s="8"/>
      <c r="D279" s="32"/>
      <c r="E279" s="32" t="s">
        <v>227</v>
      </c>
      <c r="F279" s="40">
        <v>1</v>
      </c>
      <c r="G279" s="9">
        <v>13</v>
      </c>
      <c r="H279" s="10">
        <v>20</v>
      </c>
      <c r="I279" s="10">
        <f t="shared" si="11"/>
        <v>20</v>
      </c>
      <c r="J279" s="11"/>
      <c r="K279" s="11">
        <v>0</v>
      </c>
      <c r="L279" s="74">
        <f t="shared" si="12"/>
        <v>20</v>
      </c>
      <c r="M279" s="34">
        <f t="shared" si="10"/>
        <v>13</v>
      </c>
    </row>
    <row r="280" spans="1:13" ht="15" customHeight="1" x14ac:dyDescent="0.2">
      <c r="A280" s="30" t="s">
        <v>481</v>
      </c>
      <c r="B280" s="31" t="s">
        <v>52</v>
      </c>
      <c r="C280" s="8"/>
      <c r="D280" s="32"/>
      <c r="E280" s="32" t="s">
        <v>231</v>
      </c>
      <c r="F280" s="40">
        <v>1</v>
      </c>
      <c r="G280" s="9">
        <v>158</v>
      </c>
      <c r="H280" s="10">
        <v>228</v>
      </c>
      <c r="I280" s="10">
        <f t="shared" si="11"/>
        <v>228</v>
      </c>
      <c r="J280" s="11"/>
      <c r="K280" s="11">
        <v>0</v>
      </c>
      <c r="L280" s="74">
        <f t="shared" si="12"/>
        <v>228</v>
      </c>
      <c r="M280" s="34">
        <f t="shared" si="10"/>
        <v>158</v>
      </c>
    </row>
    <row r="281" spans="1:13" ht="15" customHeight="1" x14ac:dyDescent="0.2">
      <c r="A281" s="30" t="s">
        <v>481</v>
      </c>
      <c r="B281" s="31" t="s">
        <v>483</v>
      </c>
      <c r="C281" s="8"/>
      <c r="D281" s="32"/>
      <c r="E281" s="32" t="s">
        <v>518</v>
      </c>
      <c r="F281" s="40">
        <v>1</v>
      </c>
      <c r="G281" s="9">
        <v>11.7</v>
      </c>
      <c r="H281" s="10">
        <v>28</v>
      </c>
      <c r="I281" s="10">
        <f t="shared" si="11"/>
        <v>28</v>
      </c>
      <c r="J281" s="11"/>
      <c r="K281" s="11">
        <v>13</v>
      </c>
      <c r="L281" s="74">
        <f t="shared" si="12"/>
        <v>15</v>
      </c>
      <c r="M281" s="34">
        <f t="shared" si="10"/>
        <v>11.7</v>
      </c>
    </row>
    <row r="282" spans="1:13" ht="15" customHeight="1" x14ac:dyDescent="0.2">
      <c r="A282" s="30" t="s">
        <v>481</v>
      </c>
      <c r="B282" s="31" t="s">
        <v>121</v>
      </c>
      <c r="C282" s="8"/>
      <c r="D282" s="32" t="s">
        <v>500</v>
      </c>
      <c r="E282" s="32" t="s">
        <v>300</v>
      </c>
      <c r="F282" s="40">
        <v>2</v>
      </c>
      <c r="G282" s="9">
        <v>63.7</v>
      </c>
      <c r="H282" s="10">
        <v>98</v>
      </c>
      <c r="I282" s="10">
        <f t="shared" si="11"/>
        <v>196</v>
      </c>
      <c r="J282" s="11"/>
      <c r="K282" s="11">
        <v>0</v>
      </c>
      <c r="L282" s="74">
        <f t="shared" si="12"/>
        <v>196</v>
      </c>
      <c r="M282" s="34">
        <f t="shared" si="10"/>
        <v>127.4</v>
      </c>
    </row>
    <row r="283" spans="1:13" ht="15" customHeight="1" x14ac:dyDescent="0.2">
      <c r="A283" s="30" t="s">
        <v>481</v>
      </c>
      <c r="B283" s="31" t="s">
        <v>484</v>
      </c>
      <c r="C283" s="8"/>
      <c r="D283" s="32"/>
      <c r="E283" s="32" t="s">
        <v>519</v>
      </c>
      <c r="F283" s="40">
        <v>1</v>
      </c>
      <c r="G283" s="9">
        <v>10</v>
      </c>
      <c r="H283" s="10">
        <v>18</v>
      </c>
      <c r="I283" s="10">
        <f t="shared" si="11"/>
        <v>18</v>
      </c>
      <c r="J283" s="11"/>
      <c r="K283" s="11">
        <v>0</v>
      </c>
      <c r="L283" s="74">
        <f t="shared" si="12"/>
        <v>18</v>
      </c>
      <c r="M283" s="34">
        <f t="shared" ref="M283:M346" si="13">F283*G283</f>
        <v>10</v>
      </c>
    </row>
    <row r="284" spans="1:13" ht="15" customHeight="1" x14ac:dyDescent="0.2">
      <c r="A284" s="30" t="s">
        <v>481</v>
      </c>
      <c r="B284" s="31" t="s">
        <v>105</v>
      </c>
      <c r="C284" s="8"/>
      <c r="D284" s="32" t="s">
        <v>501</v>
      </c>
      <c r="E284" s="32" t="s">
        <v>284</v>
      </c>
      <c r="F284" s="40">
        <v>2</v>
      </c>
      <c r="G284" s="9">
        <v>83.2</v>
      </c>
      <c r="H284" s="10">
        <v>128</v>
      </c>
      <c r="I284" s="10">
        <f t="shared" si="11"/>
        <v>256</v>
      </c>
      <c r="J284" s="11"/>
      <c r="K284" s="11">
        <v>0</v>
      </c>
      <c r="L284" s="74">
        <f t="shared" si="12"/>
        <v>256</v>
      </c>
      <c r="M284" s="34">
        <f t="shared" si="13"/>
        <v>166.4</v>
      </c>
    </row>
    <row r="285" spans="1:13" ht="15" customHeight="1" x14ac:dyDescent="0.2">
      <c r="A285" s="30" t="s">
        <v>481</v>
      </c>
      <c r="B285" s="31" t="s">
        <v>62</v>
      </c>
      <c r="C285" s="8"/>
      <c r="D285" s="32"/>
      <c r="E285" s="32" t="s">
        <v>241</v>
      </c>
      <c r="F285" s="40">
        <v>1</v>
      </c>
      <c r="G285" s="9">
        <v>188</v>
      </c>
      <c r="H285" s="10">
        <v>188</v>
      </c>
      <c r="I285" s="10">
        <f t="shared" si="11"/>
        <v>188</v>
      </c>
      <c r="J285" s="11"/>
      <c r="K285" s="11">
        <v>0</v>
      </c>
      <c r="L285" s="74">
        <f t="shared" si="12"/>
        <v>188</v>
      </c>
      <c r="M285" s="34">
        <f t="shared" si="13"/>
        <v>188</v>
      </c>
    </row>
    <row r="286" spans="1:13" ht="15" customHeight="1" x14ac:dyDescent="0.2">
      <c r="A286" s="30" t="s">
        <v>481</v>
      </c>
      <c r="B286" s="31" t="s">
        <v>50</v>
      </c>
      <c r="C286" s="8"/>
      <c r="D286" s="32" t="s">
        <v>502</v>
      </c>
      <c r="E286" s="32" t="s">
        <v>229</v>
      </c>
      <c r="F286" s="40">
        <v>1</v>
      </c>
      <c r="G286" s="9">
        <v>44.2</v>
      </c>
      <c r="H286" s="10">
        <v>78</v>
      </c>
      <c r="I286" s="10">
        <f t="shared" si="11"/>
        <v>78</v>
      </c>
      <c r="J286" s="11"/>
      <c r="K286" s="11">
        <v>0</v>
      </c>
      <c r="L286" s="74">
        <f t="shared" si="12"/>
        <v>78</v>
      </c>
      <c r="M286" s="34">
        <f t="shared" si="13"/>
        <v>44.2</v>
      </c>
    </row>
    <row r="287" spans="1:13" ht="15" customHeight="1" x14ac:dyDescent="0.2">
      <c r="A287" s="30" t="s">
        <v>481</v>
      </c>
      <c r="B287" s="31" t="s">
        <v>84</v>
      </c>
      <c r="C287" s="8"/>
      <c r="D287" s="32"/>
      <c r="E287" s="32" t="s">
        <v>263</v>
      </c>
      <c r="F287" s="40">
        <v>1</v>
      </c>
      <c r="G287" s="9">
        <v>58</v>
      </c>
      <c r="H287" s="10">
        <v>78</v>
      </c>
      <c r="I287" s="10">
        <f t="shared" si="11"/>
        <v>78</v>
      </c>
      <c r="J287" s="11"/>
      <c r="K287" s="11">
        <v>0</v>
      </c>
      <c r="L287" s="74">
        <f t="shared" si="12"/>
        <v>78</v>
      </c>
      <c r="M287" s="34">
        <f t="shared" si="13"/>
        <v>58</v>
      </c>
    </row>
    <row r="288" spans="1:13" ht="15" customHeight="1" x14ac:dyDescent="0.2">
      <c r="A288" s="30" t="s">
        <v>481</v>
      </c>
      <c r="B288" s="31" t="s">
        <v>81</v>
      </c>
      <c r="C288" s="8"/>
      <c r="D288" s="32" t="s">
        <v>503</v>
      </c>
      <c r="E288" s="32" t="s">
        <v>260</v>
      </c>
      <c r="F288" s="40">
        <v>1</v>
      </c>
      <c r="G288" s="9">
        <v>115.7</v>
      </c>
      <c r="H288" s="10">
        <v>298</v>
      </c>
      <c r="I288" s="10">
        <f t="shared" si="11"/>
        <v>298</v>
      </c>
      <c r="J288" s="11"/>
      <c r="K288" s="11">
        <v>0</v>
      </c>
      <c r="L288" s="74">
        <f t="shared" si="12"/>
        <v>298</v>
      </c>
      <c r="M288" s="34">
        <f t="shared" si="13"/>
        <v>115.7</v>
      </c>
    </row>
    <row r="289" spans="1:13" ht="15" customHeight="1" x14ac:dyDescent="0.2">
      <c r="A289" s="30" t="s">
        <v>481</v>
      </c>
      <c r="B289" s="31" t="s">
        <v>65</v>
      </c>
      <c r="C289" s="8"/>
      <c r="D289" s="32" t="s">
        <v>504</v>
      </c>
      <c r="E289" s="32" t="s">
        <v>244</v>
      </c>
      <c r="F289" s="40">
        <v>2</v>
      </c>
      <c r="G289" s="9">
        <v>65</v>
      </c>
      <c r="H289" s="10">
        <v>128</v>
      </c>
      <c r="I289" s="10">
        <f t="shared" si="11"/>
        <v>256</v>
      </c>
      <c r="J289" s="11"/>
      <c r="K289" s="11">
        <v>0</v>
      </c>
      <c r="L289" s="74">
        <f t="shared" si="12"/>
        <v>256</v>
      </c>
      <c r="M289" s="34">
        <f t="shared" si="13"/>
        <v>130</v>
      </c>
    </row>
    <row r="290" spans="1:13" ht="15" customHeight="1" x14ac:dyDescent="0.2">
      <c r="A290" s="30" t="s">
        <v>481</v>
      </c>
      <c r="B290" s="31" t="s">
        <v>485</v>
      </c>
      <c r="C290" s="8"/>
      <c r="D290" s="32"/>
      <c r="E290" s="32" t="s">
        <v>520</v>
      </c>
      <c r="F290" s="40">
        <v>1</v>
      </c>
      <c r="G290" s="9">
        <v>96.2</v>
      </c>
      <c r="H290" s="10">
        <v>228</v>
      </c>
      <c r="I290" s="10">
        <f t="shared" si="11"/>
        <v>228</v>
      </c>
      <c r="J290" s="11"/>
      <c r="K290" s="11">
        <v>0</v>
      </c>
      <c r="L290" s="74">
        <f t="shared" si="12"/>
        <v>228</v>
      </c>
      <c r="M290" s="34">
        <f t="shared" si="13"/>
        <v>96.2</v>
      </c>
    </row>
    <row r="291" spans="1:13" ht="15" customHeight="1" x14ac:dyDescent="0.2">
      <c r="A291" s="30" t="s">
        <v>481</v>
      </c>
      <c r="B291" s="31" t="s">
        <v>79</v>
      </c>
      <c r="C291" s="8"/>
      <c r="D291" s="32"/>
      <c r="E291" s="32" t="s">
        <v>258</v>
      </c>
      <c r="F291" s="40">
        <v>1</v>
      </c>
      <c r="G291" s="9">
        <v>122.2</v>
      </c>
      <c r="H291" s="10">
        <v>228</v>
      </c>
      <c r="I291" s="10">
        <f t="shared" si="11"/>
        <v>228</v>
      </c>
      <c r="J291" s="11"/>
      <c r="K291" s="11">
        <v>0</v>
      </c>
      <c r="L291" s="74">
        <f t="shared" si="12"/>
        <v>228</v>
      </c>
      <c r="M291" s="34">
        <f t="shared" si="13"/>
        <v>122.2</v>
      </c>
    </row>
    <row r="292" spans="1:13" ht="15" customHeight="1" x14ac:dyDescent="0.2">
      <c r="A292" s="30" t="s">
        <v>481</v>
      </c>
      <c r="B292" s="31" t="s">
        <v>48</v>
      </c>
      <c r="C292" s="8"/>
      <c r="D292" s="32"/>
      <c r="E292" s="32" t="s">
        <v>227</v>
      </c>
      <c r="F292" s="40">
        <v>3</v>
      </c>
      <c r="G292" s="9">
        <v>13</v>
      </c>
      <c r="H292" s="10">
        <v>20</v>
      </c>
      <c r="I292" s="10">
        <f t="shared" si="11"/>
        <v>60</v>
      </c>
      <c r="J292" s="11"/>
      <c r="K292" s="11">
        <v>0</v>
      </c>
      <c r="L292" s="74">
        <f t="shared" si="12"/>
        <v>60</v>
      </c>
      <c r="M292" s="34">
        <f t="shared" si="13"/>
        <v>39</v>
      </c>
    </row>
    <row r="293" spans="1:13" ht="15" customHeight="1" x14ac:dyDescent="0.2">
      <c r="A293" s="30" t="s">
        <v>481</v>
      </c>
      <c r="B293" s="31" t="s">
        <v>104</v>
      </c>
      <c r="C293" s="8"/>
      <c r="D293" s="32"/>
      <c r="E293" s="32" t="s">
        <v>283</v>
      </c>
      <c r="F293" s="40">
        <v>1</v>
      </c>
      <c r="G293" s="9">
        <v>28</v>
      </c>
      <c r="H293" s="10">
        <v>48</v>
      </c>
      <c r="I293" s="10">
        <f t="shared" si="11"/>
        <v>48</v>
      </c>
      <c r="J293" s="11"/>
      <c r="K293" s="11">
        <v>0</v>
      </c>
      <c r="L293" s="74">
        <f t="shared" si="12"/>
        <v>48</v>
      </c>
      <c r="M293" s="34">
        <f t="shared" si="13"/>
        <v>28</v>
      </c>
    </row>
    <row r="294" spans="1:13" ht="15" customHeight="1" x14ac:dyDescent="0.2">
      <c r="A294" s="30" t="s">
        <v>481</v>
      </c>
      <c r="B294" s="31" t="s">
        <v>50</v>
      </c>
      <c r="C294" s="8"/>
      <c r="D294" s="32"/>
      <c r="E294" s="32" t="s">
        <v>229</v>
      </c>
      <c r="F294" s="40">
        <v>1</v>
      </c>
      <c r="G294" s="9">
        <v>44.2</v>
      </c>
      <c r="H294" s="10">
        <v>78</v>
      </c>
      <c r="I294" s="10">
        <f t="shared" si="11"/>
        <v>78</v>
      </c>
      <c r="J294" s="11"/>
      <c r="K294" s="11">
        <v>0</v>
      </c>
      <c r="L294" s="74">
        <f t="shared" si="12"/>
        <v>78</v>
      </c>
      <c r="M294" s="34">
        <f t="shared" si="13"/>
        <v>44.2</v>
      </c>
    </row>
    <row r="295" spans="1:13" ht="15" customHeight="1" x14ac:dyDescent="0.2">
      <c r="A295" s="30" t="s">
        <v>481</v>
      </c>
      <c r="B295" s="31" t="s">
        <v>50</v>
      </c>
      <c r="C295" s="8"/>
      <c r="D295" s="32" t="s">
        <v>505</v>
      </c>
      <c r="E295" s="32" t="s">
        <v>229</v>
      </c>
      <c r="F295" s="40">
        <v>2</v>
      </c>
      <c r="G295" s="9">
        <v>44.2</v>
      </c>
      <c r="H295" s="10">
        <v>78</v>
      </c>
      <c r="I295" s="10">
        <f t="shared" si="11"/>
        <v>156</v>
      </c>
      <c r="J295" s="11"/>
      <c r="K295" s="11">
        <v>0</v>
      </c>
      <c r="L295" s="74">
        <f t="shared" si="12"/>
        <v>156</v>
      </c>
      <c r="M295" s="34">
        <f t="shared" si="13"/>
        <v>88.4</v>
      </c>
    </row>
    <row r="296" spans="1:13" ht="15" customHeight="1" x14ac:dyDescent="0.2">
      <c r="A296" s="30" t="s">
        <v>481</v>
      </c>
      <c r="B296" s="31" t="s">
        <v>90</v>
      </c>
      <c r="C296" s="8"/>
      <c r="D296" s="32" t="s">
        <v>506</v>
      </c>
      <c r="E296" s="32" t="s">
        <v>269</v>
      </c>
      <c r="F296" s="40">
        <v>1</v>
      </c>
      <c r="G296" s="9">
        <v>421.2</v>
      </c>
      <c r="H296" s="10">
        <v>648</v>
      </c>
      <c r="I296" s="10">
        <f t="shared" si="11"/>
        <v>648</v>
      </c>
      <c r="J296" s="11"/>
      <c r="K296" s="11">
        <v>0</v>
      </c>
      <c r="L296" s="74">
        <f t="shared" si="12"/>
        <v>648</v>
      </c>
      <c r="M296" s="34">
        <f t="shared" si="13"/>
        <v>421.2</v>
      </c>
    </row>
    <row r="297" spans="1:13" ht="15" customHeight="1" x14ac:dyDescent="0.2">
      <c r="A297" s="30" t="s">
        <v>481</v>
      </c>
      <c r="B297" s="31" t="s">
        <v>92</v>
      </c>
      <c r="C297" s="8"/>
      <c r="D297" s="32"/>
      <c r="E297" s="32" t="s">
        <v>271</v>
      </c>
      <c r="F297" s="40">
        <v>1</v>
      </c>
      <c r="G297" s="9">
        <v>388.7</v>
      </c>
      <c r="H297" s="10">
        <v>598</v>
      </c>
      <c r="I297" s="10">
        <f t="shared" si="11"/>
        <v>598</v>
      </c>
      <c r="J297" s="11"/>
      <c r="K297" s="11">
        <v>0</v>
      </c>
      <c r="L297" s="74">
        <f t="shared" si="12"/>
        <v>598</v>
      </c>
      <c r="M297" s="34">
        <f t="shared" si="13"/>
        <v>388.7</v>
      </c>
    </row>
    <row r="298" spans="1:13" ht="15" customHeight="1" x14ac:dyDescent="0.2">
      <c r="A298" s="30" t="s">
        <v>481</v>
      </c>
      <c r="B298" s="31" t="s">
        <v>99</v>
      </c>
      <c r="C298" s="8"/>
      <c r="D298" s="32"/>
      <c r="E298" s="32" t="s">
        <v>278</v>
      </c>
      <c r="F298" s="40">
        <v>1</v>
      </c>
      <c r="G298" s="9">
        <v>291.2</v>
      </c>
      <c r="H298" s="10">
        <v>448</v>
      </c>
      <c r="I298" s="10">
        <f t="shared" si="11"/>
        <v>448</v>
      </c>
      <c r="J298" s="11"/>
      <c r="K298" s="11">
        <v>0</v>
      </c>
      <c r="L298" s="74">
        <f t="shared" si="12"/>
        <v>448</v>
      </c>
      <c r="M298" s="34">
        <f t="shared" si="13"/>
        <v>291.2</v>
      </c>
    </row>
    <row r="299" spans="1:13" ht="15" customHeight="1" x14ac:dyDescent="0.2">
      <c r="A299" s="30" t="s">
        <v>481</v>
      </c>
      <c r="B299" s="31" t="s">
        <v>90</v>
      </c>
      <c r="C299" s="8"/>
      <c r="D299" s="32" t="s">
        <v>507</v>
      </c>
      <c r="E299" s="32" t="s">
        <v>269</v>
      </c>
      <c r="F299" s="40">
        <v>1</v>
      </c>
      <c r="G299" s="9">
        <v>421.2</v>
      </c>
      <c r="H299" s="10">
        <v>648</v>
      </c>
      <c r="I299" s="10">
        <f t="shared" si="11"/>
        <v>648</v>
      </c>
      <c r="J299" s="11"/>
      <c r="K299" s="11">
        <v>0</v>
      </c>
      <c r="L299" s="74">
        <f t="shared" si="12"/>
        <v>648</v>
      </c>
      <c r="M299" s="34">
        <f t="shared" si="13"/>
        <v>421.2</v>
      </c>
    </row>
    <row r="300" spans="1:13" ht="15" customHeight="1" x14ac:dyDescent="0.2">
      <c r="A300" s="30" t="s">
        <v>482</v>
      </c>
      <c r="B300" s="31" t="s">
        <v>90</v>
      </c>
      <c r="C300" s="8"/>
      <c r="D300" s="32" t="s">
        <v>508</v>
      </c>
      <c r="E300" s="32" t="s">
        <v>269</v>
      </c>
      <c r="F300" s="40">
        <v>1</v>
      </c>
      <c r="G300" s="9">
        <v>421.2</v>
      </c>
      <c r="H300" s="10">
        <v>648</v>
      </c>
      <c r="I300" s="10">
        <f t="shared" si="11"/>
        <v>648</v>
      </c>
      <c r="J300" s="11"/>
      <c r="K300" s="11">
        <v>0</v>
      </c>
      <c r="L300" s="74">
        <f t="shared" si="12"/>
        <v>648</v>
      </c>
      <c r="M300" s="34">
        <f t="shared" si="13"/>
        <v>421.2</v>
      </c>
    </row>
    <row r="301" spans="1:13" ht="15" customHeight="1" x14ac:dyDescent="0.2">
      <c r="A301" s="30" t="s">
        <v>482</v>
      </c>
      <c r="B301" s="31" t="s">
        <v>54</v>
      </c>
      <c r="C301" s="8"/>
      <c r="D301" s="32" t="s">
        <v>509</v>
      </c>
      <c r="E301" s="32" t="s">
        <v>233</v>
      </c>
      <c r="F301" s="40">
        <v>1</v>
      </c>
      <c r="G301" s="9">
        <v>115.7</v>
      </c>
      <c r="H301" s="10">
        <v>188</v>
      </c>
      <c r="I301" s="10">
        <f t="shared" si="11"/>
        <v>188</v>
      </c>
      <c r="J301" s="11"/>
      <c r="K301" s="11">
        <v>0</v>
      </c>
      <c r="L301" s="74">
        <f t="shared" si="12"/>
        <v>188</v>
      </c>
      <c r="M301" s="34">
        <f t="shared" si="13"/>
        <v>115.7</v>
      </c>
    </row>
    <row r="302" spans="1:13" ht="15" customHeight="1" x14ac:dyDescent="0.2">
      <c r="A302" s="30" t="s">
        <v>482</v>
      </c>
      <c r="B302" s="31" t="s">
        <v>54</v>
      </c>
      <c r="C302" s="8"/>
      <c r="D302" s="32" t="s">
        <v>510</v>
      </c>
      <c r="E302" s="32" t="s">
        <v>233</v>
      </c>
      <c r="F302" s="40">
        <v>1</v>
      </c>
      <c r="G302" s="9">
        <v>115.7</v>
      </c>
      <c r="H302" s="10">
        <v>188</v>
      </c>
      <c r="I302" s="10">
        <f t="shared" si="11"/>
        <v>188</v>
      </c>
      <c r="J302" s="11"/>
      <c r="K302" s="11">
        <v>0</v>
      </c>
      <c r="L302" s="74">
        <f t="shared" si="12"/>
        <v>188</v>
      </c>
      <c r="M302" s="34">
        <f t="shared" si="13"/>
        <v>115.7</v>
      </c>
    </row>
    <row r="303" spans="1:13" ht="15" customHeight="1" x14ac:dyDescent="0.2">
      <c r="A303" s="30" t="s">
        <v>482</v>
      </c>
      <c r="B303" s="31" t="s">
        <v>83</v>
      </c>
      <c r="C303" s="8"/>
      <c r="D303" s="32"/>
      <c r="E303" s="32" t="s">
        <v>262</v>
      </c>
      <c r="F303" s="40">
        <v>1</v>
      </c>
      <c r="G303" s="9">
        <v>96.2</v>
      </c>
      <c r="H303" s="10">
        <v>248</v>
      </c>
      <c r="I303" s="10">
        <f t="shared" si="11"/>
        <v>248</v>
      </c>
      <c r="J303" s="11"/>
      <c r="K303" s="11">
        <v>0</v>
      </c>
      <c r="L303" s="74">
        <f t="shared" si="12"/>
        <v>248</v>
      </c>
      <c r="M303" s="34">
        <f t="shared" si="13"/>
        <v>96.2</v>
      </c>
    </row>
    <row r="304" spans="1:13" ht="15" customHeight="1" x14ac:dyDescent="0.2">
      <c r="A304" s="30" t="s">
        <v>482</v>
      </c>
      <c r="B304" s="31" t="s">
        <v>65</v>
      </c>
      <c r="C304" s="8"/>
      <c r="D304" s="32" t="s">
        <v>511</v>
      </c>
      <c r="E304" s="32" t="s">
        <v>244</v>
      </c>
      <c r="F304" s="40">
        <v>2</v>
      </c>
      <c r="G304" s="9">
        <v>65</v>
      </c>
      <c r="H304" s="10">
        <v>128</v>
      </c>
      <c r="I304" s="10">
        <f t="shared" si="11"/>
        <v>256</v>
      </c>
      <c r="J304" s="11"/>
      <c r="K304" s="11">
        <v>0</v>
      </c>
      <c r="L304" s="74">
        <f t="shared" si="12"/>
        <v>256</v>
      </c>
      <c r="M304" s="34">
        <f t="shared" si="13"/>
        <v>130</v>
      </c>
    </row>
    <row r="305" spans="1:13" ht="15" customHeight="1" x14ac:dyDescent="0.2">
      <c r="A305" s="30" t="s">
        <v>482</v>
      </c>
      <c r="B305" s="31" t="s">
        <v>55</v>
      </c>
      <c r="C305" s="8"/>
      <c r="D305" s="32" t="s">
        <v>512</v>
      </c>
      <c r="E305" s="32" t="s">
        <v>234</v>
      </c>
      <c r="F305" s="40">
        <v>1</v>
      </c>
      <c r="G305" s="9">
        <v>63.7</v>
      </c>
      <c r="H305" s="10">
        <v>228</v>
      </c>
      <c r="I305" s="10">
        <f t="shared" si="11"/>
        <v>228</v>
      </c>
      <c r="J305" s="11"/>
      <c r="K305" s="11">
        <v>0</v>
      </c>
      <c r="L305" s="74">
        <f t="shared" si="12"/>
        <v>228</v>
      </c>
      <c r="M305" s="34">
        <f t="shared" si="13"/>
        <v>63.7</v>
      </c>
    </row>
    <row r="306" spans="1:13" ht="15" customHeight="1" x14ac:dyDescent="0.2">
      <c r="A306" s="30" t="s">
        <v>482</v>
      </c>
      <c r="B306" s="31" t="s">
        <v>54</v>
      </c>
      <c r="C306" s="8"/>
      <c r="D306" s="32"/>
      <c r="E306" s="32" t="s">
        <v>233</v>
      </c>
      <c r="F306" s="40">
        <v>1</v>
      </c>
      <c r="G306" s="9">
        <v>115.7</v>
      </c>
      <c r="H306" s="10">
        <v>188</v>
      </c>
      <c r="I306" s="10">
        <f t="shared" si="11"/>
        <v>188</v>
      </c>
      <c r="J306" s="11"/>
      <c r="K306" s="11">
        <v>0</v>
      </c>
      <c r="L306" s="74">
        <f t="shared" si="12"/>
        <v>188</v>
      </c>
      <c r="M306" s="34">
        <f t="shared" si="13"/>
        <v>115.7</v>
      </c>
    </row>
    <row r="307" spans="1:13" ht="15" customHeight="1" x14ac:dyDescent="0.2">
      <c r="A307" s="30" t="s">
        <v>482</v>
      </c>
      <c r="B307" s="31" t="s">
        <v>123</v>
      </c>
      <c r="C307" s="8"/>
      <c r="D307" s="32"/>
      <c r="E307" s="32" t="s">
        <v>302</v>
      </c>
      <c r="F307" s="40">
        <v>2</v>
      </c>
      <c r="G307" s="9">
        <v>30</v>
      </c>
      <c r="H307" s="10">
        <v>30</v>
      </c>
      <c r="I307" s="10">
        <f t="shared" si="11"/>
        <v>60</v>
      </c>
      <c r="J307" s="11"/>
      <c r="K307" s="11">
        <v>0</v>
      </c>
      <c r="L307" s="74">
        <f t="shared" si="12"/>
        <v>60</v>
      </c>
      <c r="M307" s="34">
        <f t="shared" si="13"/>
        <v>60</v>
      </c>
    </row>
    <row r="308" spans="1:13" ht="15" customHeight="1" x14ac:dyDescent="0.2">
      <c r="A308" s="30" t="s">
        <v>482</v>
      </c>
      <c r="B308" s="31" t="s">
        <v>77</v>
      </c>
      <c r="C308" s="8"/>
      <c r="D308" s="32" t="s">
        <v>513</v>
      </c>
      <c r="E308" s="32" t="s">
        <v>256</v>
      </c>
      <c r="F308" s="40">
        <v>2</v>
      </c>
      <c r="G308" s="9">
        <v>102.7</v>
      </c>
      <c r="H308" s="10">
        <v>248</v>
      </c>
      <c r="I308" s="10">
        <f t="shared" si="11"/>
        <v>496</v>
      </c>
      <c r="J308" s="11"/>
      <c r="K308" s="11">
        <v>0</v>
      </c>
      <c r="L308" s="74">
        <f t="shared" si="12"/>
        <v>496</v>
      </c>
      <c r="M308" s="34">
        <f t="shared" si="13"/>
        <v>205.4</v>
      </c>
    </row>
    <row r="309" spans="1:13" ht="15" customHeight="1" x14ac:dyDescent="0.2">
      <c r="A309" s="30" t="s">
        <v>482</v>
      </c>
      <c r="B309" s="31" t="s">
        <v>112</v>
      </c>
      <c r="C309" s="8"/>
      <c r="D309" s="32"/>
      <c r="E309" s="32" t="s">
        <v>291</v>
      </c>
      <c r="F309" s="40">
        <v>1</v>
      </c>
      <c r="G309" s="9">
        <v>58</v>
      </c>
      <c r="H309" s="10">
        <v>78</v>
      </c>
      <c r="I309" s="10">
        <f t="shared" si="11"/>
        <v>78</v>
      </c>
      <c r="J309" s="11"/>
      <c r="K309" s="11">
        <v>0</v>
      </c>
      <c r="L309" s="74">
        <f t="shared" si="12"/>
        <v>78</v>
      </c>
      <c r="M309" s="34">
        <f t="shared" si="13"/>
        <v>58</v>
      </c>
    </row>
    <row r="310" spans="1:13" ht="15" customHeight="1" x14ac:dyDescent="0.2">
      <c r="A310" s="30" t="s">
        <v>482</v>
      </c>
      <c r="B310" s="31" t="s">
        <v>63</v>
      </c>
      <c r="C310" s="8"/>
      <c r="D310" s="32"/>
      <c r="E310" s="32" t="s">
        <v>242</v>
      </c>
      <c r="F310" s="40">
        <v>1</v>
      </c>
      <c r="G310" s="9">
        <v>5</v>
      </c>
      <c r="H310" s="10">
        <v>10</v>
      </c>
      <c r="I310" s="10">
        <f t="shared" si="11"/>
        <v>10</v>
      </c>
      <c r="J310" s="11"/>
      <c r="K310" s="11">
        <v>0</v>
      </c>
      <c r="L310" s="74">
        <f t="shared" si="12"/>
        <v>10</v>
      </c>
      <c r="M310" s="34">
        <f t="shared" si="13"/>
        <v>5</v>
      </c>
    </row>
    <row r="311" spans="1:13" ht="15" customHeight="1" x14ac:dyDescent="0.2">
      <c r="A311" s="30" t="s">
        <v>482</v>
      </c>
      <c r="B311" s="31" t="s">
        <v>82</v>
      </c>
      <c r="C311" s="8"/>
      <c r="D311" s="32"/>
      <c r="E311" s="32" t="s">
        <v>261</v>
      </c>
      <c r="F311" s="40">
        <v>1</v>
      </c>
      <c r="G311" s="9">
        <v>158</v>
      </c>
      <c r="H311" s="10">
        <v>258</v>
      </c>
      <c r="I311" s="10">
        <f t="shared" si="11"/>
        <v>258</v>
      </c>
      <c r="J311" s="11"/>
      <c r="K311" s="11">
        <v>0</v>
      </c>
      <c r="L311" s="74">
        <f t="shared" si="12"/>
        <v>258</v>
      </c>
      <c r="M311" s="34">
        <f t="shared" si="13"/>
        <v>158</v>
      </c>
    </row>
    <row r="312" spans="1:13" ht="15" customHeight="1" x14ac:dyDescent="0.2">
      <c r="A312" s="30" t="s">
        <v>482</v>
      </c>
      <c r="B312" s="31" t="s">
        <v>83</v>
      </c>
      <c r="C312" s="8"/>
      <c r="D312" s="32" t="s">
        <v>514</v>
      </c>
      <c r="E312" s="32" t="s">
        <v>262</v>
      </c>
      <c r="F312" s="40">
        <v>1</v>
      </c>
      <c r="G312" s="9">
        <v>96.2</v>
      </c>
      <c r="H312" s="10">
        <v>248</v>
      </c>
      <c r="I312" s="10">
        <f t="shared" si="11"/>
        <v>248</v>
      </c>
      <c r="J312" s="11"/>
      <c r="K312" s="11">
        <v>0</v>
      </c>
      <c r="L312" s="74">
        <f t="shared" si="12"/>
        <v>248</v>
      </c>
      <c r="M312" s="34">
        <f t="shared" si="13"/>
        <v>96.2</v>
      </c>
    </row>
    <row r="313" spans="1:13" ht="15" customHeight="1" x14ac:dyDescent="0.2">
      <c r="A313" s="30" t="s">
        <v>482</v>
      </c>
      <c r="B313" s="31" t="s">
        <v>48</v>
      </c>
      <c r="C313" s="8"/>
      <c r="D313" s="32"/>
      <c r="E313" s="32" t="s">
        <v>227</v>
      </c>
      <c r="F313" s="40">
        <v>3</v>
      </c>
      <c r="G313" s="9">
        <v>13</v>
      </c>
      <c r="H313" s="10">
        <v>20</v>
      </c>
      <c r="I313" s="10">
        <f t="shared" si="11"/>
        <v>60</v>
      </c>
      <c r="J313" s="11"/>
      <c r="K313" s="11">
        <v>0</v>
      </c>
      <c r="L313" s="74">
        <f t="shared" si="12"/>
        <v>60</v>
      </c>
      <c r="M313" s="34">
        <f t="shared" si="13"/>
        <v>39</v>
      </c>
    </row>
    <row r="314" spans="1:13" ht="15" customHeight="1" x14ac:dyDescent="0.2">
      <c r="A314" s="30" t="s">
        <v>482</v>
      </c>
      <c r="B314" s="31" t="s">
        <v>121</v>
      </c>
      <c r="C314" s="8"/>
      <c r="D314" s="32"/>
      <c r="E314" s="32" t="s">
        <v>300</v>
      </c>
      <c r="F314" s="40">
        <v>1</v>
      </c>
      <c r="G314" s="9">
        <v>63.7</v>
      </c>
      <c r="H314" s="10">
        <v>98</v>
      </c>
      <c r="I314" s="10">
        <f t="shared" si="11"/>
        <v>98</v>
      </c>
      <c r="J314" s="11"/>
      <c r="K314" s="11">
        <v>12</v>
      </c>
      <c r="L314" s="74">
        <f t="shared" si="12"/>
        <v>86</v>
      </c>
      <c r="M314" s="34">
        <f t="shared" si="13"/>
        <v>63.7</v>
      </c>
    </row>
    <row r="315" spans="1:13" ht="15" customHeight="1" x14ac:dyDescent="0.2">
      <c r="A315" s="30" t="s">
        <v>482</v>
      </c>
      <c r="B315" s="31" t="s">
        <v>486</v>
      </c>
      <c r="C315" s="8"/>
      <c r="D315" s="32" t="s">
        <v>515</v>
      </c>
      <c r="E315" s="32" t="s">
        <v>521</v>
      </c>
      <c r="F315" s="40">
        <v>1</v>
      </c>
      <c r="G315" s="9">
        <v>8500</v>
      </c>
      <c r="H315" s="10">
        <v>13300</v>
      </c>
      <c r="I315" s="10">
        <f t="shared" si="11"/>
        <v>13300</v>
      </c>
      <c r="J315" s="11"/>
      <c r="K315" s="11">
        <v>0</v>
      </c>
      <c r="L315" s="74">
        <f t="shared" si="12"/>
        <v>13300</v>
      </c>
      <c r="M315" s="34">
        <f t="shared" si="13"/>
        <v>8500</v>
      </c>
    </row>
    <row r="316" spans="1:13" ht="15" customHeight="1" x14ac:dyDescent="0.2">
      <c r="A316" s="30" t="s">
        <v>482</v>
      </c>
      <c r="B316" s="31" t="s">
        <v>104</v>
      </c>
      <c r="C316" s="8"/>
      <c r="D316" s="32" t="s">
        <v>516</v>
      </c>
      <c r="E316" s="32" t="s">
        <v>283</v>
      </c>
      <c r="F316" s="40">
        <v>2</v>
      </c>
      <c r="G316" s="9">
        <v>28</v>
      </c>
      <c r="H316" s="10">
        <v>48</v>
      </c>
      <c r="I316" s="10">
        <f t="shared" si="11"/>
        <v>96</v>
      </c>
      <c r="J316" s="11"/>
      <c r="K316" s="11">
        <v>0</v>
      </c>
      <c r="L316" s="74">
        <f t="shared" si="12"/>
        <v>96</v>
      </c>
      <c r="M316" s="34">
        <f t="shared" si="13"/>
        <v>56</v>
      </c>
    </row>
    <row r="317" spans="1:13" ht="15" customHeight="1" x14ac:dyDescent="0.2">
      <c r="A317" s="30" t="s">
        <v>482</v>
      </c>
      <c r="B317" s="31" t="s">
        <v>50</v>
      </c>
      <c r="C317" s="8"/>
      <c r="D317" s="32"/>
      <c r="E317" s="32" t="s">
        <v>229</v>
      </c>
      <c r="F317" s="40">
        <v>4</v>
      </c>
      <c r="G317" s="9">
        <v>44.2</v>
      </c>
      <c r="H317" s="10">
        <v>78</v>
      </c>
      <c r="I317" s="10">
        <f t="shared" si="11"/>
        <v>312</v>
      </c>
      <c r="J317" s="11"/>
      <c r="K317" s="11">
        <v>0</v>
      </c>
      <c r="L317" s="74">
        <f t="shared" si="12"/>
        <v>312</v>
      </c>
      <c r="M317" s="34">
        <f t="shared" si="13"/>
        <v>176.8</v>
      </c>
    </row>
    <row r="318" spans="1:13" ht="15" customHeight="1" x14ac:dyDescent="0.2">
      <c r="A318" s="30" t="s">
        <v>482</v>
      </c>
      <c r="B318" s="31" t="s">
        <v>48</v>
      </c>
      <c r="C318" s="8"/>
      <c r="D318" s="32" t="s">
        <v>517</v>
      </c>
      <c r="E318" s="32" t="s">
        <v>227</v>
      </c>
      <c r="F318" s="40">
        <v>4</v>
      </c>
      <c r="G318" s="9">
        <v>13</v>
      </c>
      <c r="H318" s="10">
        <v>20</v>
      </c>
      <c r="I318" s="10">
        <f t="shared" si="11"/>
        <v>80</v>
      </c>
      <c r="J318" s="11"/>
      <c r="K318" s="11">
        <v>0</v>
      </c>
      <c r="L318" s="74">
        <f t="shared" si="12"/>
        <v>80</v>
      </c>
      <c r="M318" s="34">
        <f t="shared" si="13"/>
        <v>52</v>
      </c>
    </row>
    <row r="319" spans="1:13" ht="15" customHeight="1" x14ac:dyDescent="0.2">
      <c r="A319" s="30" t="s">
        <v>482</v>
      </c>
      <c r="B319" s="31" t="s">
        <v>55</v>
      </c>
      <c r="C319" s="8"/>
      <c r="D319" s="32"/>
      <c r="E319" s="32" t="s">
        <v>234</v>
      </c>
      <c r="F319" s="40">
        <v>1</v>
      </c>
      <c r="G319" s="9">
        <v>63.7</v>
      </c>
      <c r="H319" s="10">
        <v>228</v>
      </c>
      <c r="I319" s="10">
        <f t="shared" si="11"/>
        <v>228</v>
      </c>
      <c r="J319" s="11"/>
      <c r="K319" s="11">
        <v>0</v>
      </c>
      <c r="L319" s="74">
        <f t="shared" si="12"/>
        <v>228</v>
      </c>
      <c r="M319" s="34">
        <f t="shared" si="13"/>
        <v>63.7</v>
      </c>
    </row>
    <row r="320" spans="1:13" ht="15" customHeight="1" x14ac:dyDescent="0.2">
      <c r="A320" s="30" t="s">
        <v>482</v>
      </c>
      <c r="B320" s="31" t="s">
        <v>60</v>
      </c>
      <c r="C320" s="8"/>
      <c r="D320" s="32"/>
      <c r="E320" s="32" t="s">
        <v>239</v>
      </c>
      <c r="F320" s="40">
        <v>2</v>
      </c>
      <c r="G320" s="9">
        <v>100</v>
      </c>
      <c r="H320" s="10">
        <v>188</v>
      </c>
      <c r="I320" s="10">
        <f t="shared" si="11"/>
        <v>376</v>
      </c>
      <c r="J320" s="11"/>
      <c r="K320" s="11">
        <v>0</v>
      </c>
      <c r="L320" s="74">
        <f t="shared" si="12"/>
        <v>376</v>
      </c>
      <c r="M320" s="34">
        <f t="shared" si="13"/>
        <v>200</v>
      </c>
    </row>
    <row r="321" spans="1:13" ht="15" customHeight="1" x14ac:dyDescent="0.2">
      <c r="A321" s="30" t="s">
        <v>482</v>
      </c>
      <c r="B321" s="31" t="s">
        <v>95</v>
      </c>
      <c r="C321" s="8"/>
      <c r="D321" s="32"/>
      <c r="E321" s="32" t="s">
        <v>274</v>
      </c>
      <c r="F321" s="40">
        <v>1</v>
      </c>
      <c r="G321" s="9">
        <v>160</v>
      </c>
      <c r="H321" s="10">
        <v>228</v>
      </c>
      <c r="I321" s="10">
        <f t="shared" si="11"/>
        <v>228</v>
      </c>
      <c r="J321" s="11"/>
      <c r="K321" s="11">
        <v>0</v>
      </c>
      <c r="L321" s="74">
        <f t="shared" si="12"/>
        <v>228</v>
      </c>
      <c r="M321" s="34">
        <f t="shared" si="13"/>
        <v>160</v>
      </c>
    </row>
    <row r="322" spans="1:13" ht="15" customHeight="1" x14ac:dyDescent="0.2">
      <c r="A322" s="30" t="s">
        <v>482</v>
      </c>
      <c r="B322" s="31" t="s">
        <v>50</v>
      </c>
      <c r="C322" s="8"/>
      <c r="D322" s="32"/>
      <c r="E322" s="32" t="s">
        <v>229</v>
      </c>
      <c r="F322" s="40">
        <v>3</v>
      </c>
      <c r="G322" s="9">
        <v>44.2</v>
      </c>
      <c r="H322" s="10">
        <v>78</v>
      </c>
      <c r="I322" s="10">
        <f t="shared" si="11"/>
        <v>234</v>
      </c>
      <c r="J322" s="11"/>
      <c r="K322" s="11">
        <v>0</v>
      </c>
      <c r="L322" s="74">
        <f t="shared" si="12"/>
        <v>234</v>
      </c>
      <c r="M322" s="34">
        <f t="shared" si="13"/>
        <v>132.60000000000002</v>
      </c>
    </row>
    <row r="323" spans="1:13" ht="15" customHeight="1" x14ac:dyDescent="0.2">
      <c r="A323" s="30" t="s">
        <v>542</v>
      </c>
      <c r="B323" s="31" t="s">
        <v>69</v>
      </c>
      <c r="C323" s="8"/>
      <c r="D323" s="32" t="s">
        <v>544</v>
      </c>
      <c r="E323" s="32" t="s">
        <v>248</v>
      </c>
      <c r="F323" s="40">
        <v>8</v>
      </c>
      <c r="G323" s="9">
        <v>32.5</v>
      </c>
      <c r="H323" s="10">
        <v>60</v>
      </c>
      <c r="I323" s="10">
        <f t="shared" si="11"/>
        <v>480</v>
      </c>
      <c r="J323" s="11"/>
      <c r="K323" s="11">
        <v>0</v>
      </c>
      <c r="L323" s="74">
        <f t="shared" si="12"/>
        <v>480</v>
      </c>
      <c r="M323" s="34">
        <f t="shared" si="13"/>
        <v>260</v>
      </c>
    </row>
    <row r="324" spans="1:13" ht="15" customHeight="1" x14ac:dyDescent="0.2">
      <c r="A324" s="30" t="s">
        <v>542</v>
      </c>
      <c r="B324" s="31" t="s">
        <v>73</v>
      </c>
      <c r="C324" s="8"/>
      <c r="D324" s="32"/>
      <c r="E324" s="32" t="s">
        <v>252</v>
      </c>
      <c r="F324" s="40">
        <v>5</v>
      </c>
      <c r="G324" s="9">
        <v>6.5</v>
      </c>
      <c r="H324" s="10">
        <v>10</v>
      </c>
      <c r="I324" s="10">
        <f t="shared" si="11"/>
        <v>50</v>
      </c>
      <c r="J324" s="11"/>
      <c r="K324" s="11">
        <v>0</v>
      </c>
      <c r="L324" s="74">
        <f t="shared" si="12"/>
        <v>50</v>
      </c>
      <c r="M324" s="34">
        <f t="shared" si="13"/>
        <v>32.5</v>
      </c>
    </row>
    <row r="325" spans="1:13" ht="15" customHeight="1" x14ac:dyDescent="0.2">
      <c r="A325" s="30" t="s">
        <v>542</v>
      </c>
      <c r="B325" s="31" t="s">
        <v>543</v>
      </c>
      <c r="C325" s="8"/>
      <c r="D325" s="32" t="s">
        <v>545</v>
      </c>
      <c r="E325" s="32" t="s">
        <v>552</v>
      </c>
      <c r="F325" s="40">
        <v>1</v>
      </c>
      <c r="G325" s="9">
        <v>78</v>
      </c>
      <c r="H325" s="10">
        <v>128</v>
      </c>
      <c r="I325" s="10">
        <f t="shared" si="11"/>
        <v>128</v>
      </c>
      <c r="J325" s="11"/>
      <c r="K325" s="11">
        <v>0</v>
      </c>
      <c r="L325" s="74">
        <f t="shared" si="12"/>
        <v>128</v>
      </c>
      <c r="M325" s="34">
        <f t="shared" si="13"/>
        <v>78</v>
      </c>
    </row>
    <row r="326" spans="1:13" ht="15" customHeight="1" x14ac:dyDescent="0.2">
      <c r="A326" s="30" t="s">
        <v>542</v>
      </c>
      <c r="B326" s="31" t="s">
        <v>47</v>
      </c>
      <c r="C326" s="8"/>
      <c r="D326" s="32" t="s">
        <v>546</v>
      </c>
      <c r="E326" s="32" t="s">
        <v>226</v>
      </c>
      <c r="F326" s="40">
        <v>1</v>
      </c>
      <c r="G326" s="9">
        <v>115.7</v>
      </c>
      <c r="H326" s="10">
        <v>188</v>
      </c>
      <c r="I326" s="10">
        <f t="shared" si="11"/>
        <v>188</v>
      </c>
      <c r="J326" s="11"/>
      <c r="K326" s="11">
        <v>0</v>
      </c>
      <c r="L326" s="74">
        <f t="shared" si="12"/>
        <v>188</v>
      </c>
      <c r="M326" s="34">
        <f t="shared" si="13"/>
        <v>115.7</v>
      </c>
    </row>
    <row r="327" spans="1:13" ht="15" customHeight="1" x14ac:dyDescent="0.2">
      <c r="A327" s="30" t="s">
        <v>542</v>
      </c>
      <c r="B327" s="31" t="s">
        <v>94</v>
      </c>
      <c r="C327" s="8"/>
      <c r="D327" s="32" t="s">
        <v>547</v>
      </c>
      <c r="E327" s="32" t="s">
        <v>273</v>
      </c>
      <c r="F327" s="40">
        <v>1</v>
      </c>
      <c r="G327" s="9">
        <v>291.2</v>
      </c>
      <c r="H327" s="10">
        <v>448</v>
      </c>
      <c r="I327" s="10">
        <f t="shared" ref="I327:I344" si="14">F327*H327</f>
        <v>448</v>
      </c>
      <c r="J327" s="11"/>
      <c r="K327" s="11">
        <v>0</v>
      </c>
      <c r="L327" s="74">
        <f t="shared" ref="L327:L388" si="15">I327-K327</f>
        <v>448</v>
      </c>
      <c r="M327" s="34">
        <f t="shared" si="13"/>
        <v>291.2</v>
      </c>
    </row>
    <row r="328" spans="1:13" ht="15" customHeight="1" x14ac:dyDescent="0.2">
      <c r="A328" s="30" t="s">
        <v>542</v>
      </c>
      <c r="B328" s="31" t="s">
        <v>55</v>
      </c>
      <c r="C328" s="8"/>
      <c r="D328" s="32" t="s">
        <v>548</v>
      </c>
      <c r="E328" s="32" t="s">
        <v>234</v>
      </c>
      <c r="F328" s="40">
        <v>1</v>
      </c>
      <c r="G328" s="9">
        <v>63.7</v>
      </c>
      <c r="H328" s="10">
        <v>228</v>
      </c>
      <c r="I328" s="10">
        <f t="shared" si="14"/>
        <v>228</v>
      </c>
      <c r="J328" s="11"/>
      <c r="K328" s="11">
        <v>0</v>
      </c>
      <c r="L328" s="74">
        <f t="shared" si="15"/>
        <v>228</v>
      </c>
      <c r="M328" s="34">
        <f t="shared" si="13"/>
        <v>63.7</v>
      </c>
    </row>
    <row r="329" spans="1:13" ht="15" customHeight="1" x14ac:dyDescent="0.2">
      <c r="A329" s="30" t="s">
        <v>542</v>
      </c>
      <c r="B329" s="31" t="s">
        <v>48</v>
      </c>
      <c r="C329" s="8"/>
      <c r="D329" s="32"/>
      <c r="E329" s="32" t="s">
        <v>227</v>
      </c>
      <c r="F329" s="40">
        <v>2</v>
      </c>
      <c r="G329" s="9">
        <v>13</v>
      </c>
      <c r="H329" s="10">
        <v>20</v>
      </c>
      <c r="I329" s="10">
        <f t="shared" si="14"/>
        <v>40</v>
      </c>
      <c r="J329" s="11"/>
      <c r="K329" s="11">
        <v>0</v>
      </c>
      <c r="L329" s="74">
        <f t="shared" si="15"/>
        <v>40</v>
      </c>
      <c r="M329" s="34">
        <f t="shared" si="13"/>
        <v>26</v>
      </c>
    </row>
    <row r="330" spans="1:13" ht="15" customHeight="1" x14ac:dyDescent="0.2">
      <c r="A330" s="30" t="s">
        <v>542</v>
      </c>
      <c r="B330" s="31" t="s">
        <v>64</v>
      </c>
      <c r="C330" s="8"/>
      <c r="D330" s="32"/>
      <c r="E330" s="32" t="s">
        <v>243</v>
      </c>
      <c r="F330" s="40">
        <v>2</v>
      </c>
      <c r="G330" s="9">
        <v>20</v>
      </c>
      <c r="H330" s="10">
        <v>48</v>
      </c>
      <c r="I330" s="10">
        <f t="shared" si="14"/>
        <v>96</v>
      </c>
      <c r="J330" s="11"/>
      <c r="K330" s="11">
        <v>0</v>
      </c>
      <c r="L330" s="74">
        <f t="shared" si="15"/>
        <v>96</v>
      </c>
      <c r="M330" s="34">
        <f t="shared" si="13"/>
        <v>40</v>
      </c>
    </row>
    <row r="331" spans="1:13" ht="15" customHeight="1" x14ac:dyDescent="0.2">
      <c r="A331" s="30" t="s">
        <v>542</v>
      </c>
      <c r="B331" s="31" t="s">
        <v>67</v>
      </c>
      <c r="C331" s="8"/>
      <c r="D331" s="32"/>
      <c r="E331" s="32" t="s">
        <v>246</v>
      </c>
      <c r="F331" s="40">
        <v>1</v>
      </c>
      <c r="G331" s="9">
        <v>58</v>
      </c>
      <c r="H331" s="10">
        <v>78</v>
      </c>
      <c r="I331" s="10">
        <f t="shared" si="14"/>
        <v>78</v>
      </c>
      <c r="J331" s="11"/>
      <c r="K331" s="11">
        <v>0</v>
      </c>
      <c r="L331" s="74">
        <f t="shared" si="15"/>
        <v>78</v>
      </c>
      <c r="M331" s="34">
        <f t="shared" si="13"/>
        <v>58</v>
      </c>
    </row>
    <row r="332" spans="1:13" ht="15" customHeight="1" x14ac:dyDescent="0.2">
      <c r="A332" s="30" t="s">
        <v>542</v>
      </c>
      <c r="B332" s="31" t="s">
        <v>77</v>
      </c>
      <c r="C332" s="8"/>
      <c r="D332" s="32"/>
      <c r="E332" s="32" t="s">
        <v>256</v>
      </c>
      <c r="F332" s="40">
        <v>1</v>
      </c>
      <c r="G332" s="9">
        <v>102.7</v>
      </c>
      <c r="H332" s="10">
        <v>248</v>
      </c>
      <c r="I332" s="10">
        <f t="shared" si="14"/>
        <v>248</v>
      </c>
      <c r="J332" s="11"/>
      <c r="K332" s="11">
        <v>0</v>
      </c>
      <c r="L332" s="74">
        <f t="shared" si="15"/>
        <v>248</v>
      </c>
      <c r="M332" s="34">
        <f t="shared" si="13"/>
        <v>102.7</v>
      </c>
    </row>
    <row r="333" spans="1:13" ht="15" customHeight="1" x14ac:dyDescent="0.2">
      <c r="A333" s="30" t="s">
        <v>542</v>
      </c>
      <c r="B333" s="31" t="s">
        <v>69</v>
      </c>
      <c r="C333" s="8"/>
      <c r="D333" s="32" t="s">
        <v>549</v>
      </c>
      <c r="E333" s="32" t="s">
        <v>248</v>
      </c>
      <c r="F333" s="40">
        <v>10</v>
      </c>
      <c r="G333" s="9">
        <v>32.5</v>
      </c>
      <c r="H333" s="10">
        <v>60</v>
      </c>
      <c r="I333" s="10">
        <f t="shared" si="14"/>
        <v>600</v>
      </c>
      <c r="J333" s="11"/>
      <c r="K333" s="11">
        <v>0</v>
      </c>
      <c r="L333" s="74">
        <f t="shared" si="15"/>
        <v>600</v>
      </c>
      <c r="M333" s="34">
        <f t="shared" si="13"/>
        <v>325</v>
      </c>
    </row>
    <row r="334" spans="1:13" ht="15" customHeight="1" x14ac:dyDescent="0.2">
      <c r="A334" s="30" t="s">
        <v>542</v>
      </c>
      <c r="B334" s="31" t="s">
        <v>48</v>
      </c>
      <c r="C334" s="8"/>
      <c r="D334" s="32"/>
      <c r="E334" s="32" t="s">
        <v>227</v>
      </c>
      <c r="F334" s="40">
        <v>5</v>
      </c>
      <c r="G334" s="9">
        <v>13</v>
      </c>
      <c r="H334" s="10">
        <v>20</v>
      </c>
      <c r="I334" s="10">
        <f t="shared" si="14"/>
        <v>100</v>
      </c>
      <c r="J334" s="11"/>
      <c r="K334" s="11">
        <v>0</v>
      </c>
      <c r="L334" s="74">
        <f t="shared" si="15"/>
        <v>100</v>
      </c>
      <c r="M334" s="34">
        <f t="shared" si="13"/>
        <v>65</v>
      </c>
    </row>
    <row r="335" spans="1:13" ht="15" customHeight="1" x14ac:dyDescent="0.2">
      <c r="A335" s="30" t="s">
        <v>542</v>
      </c>
      <c r="B335" s="31" t="s">
        <v>64</v>
      </c>
      <c r="C335" s="8"/>
      <c r="D335" s="32"/>
      <c r="E335" s="32" t="s">
        <v>243</v>
      </c>
      <c r="F335" s="40">
        <v>3</v>
      </c>
      <c r="G335" s="9">
        <v>20</v>
      </c>
      <c r="H335" s="10">
        <v>48</v>
      </c>
      <c r="I335" s="10">
        <f t="shared" si="14"/>
        <v>144</v>
      </c>
      <c r="J335" s="11"/>
      <c r="K335" s="11">
        <v>24</v>
      </c>
      <c r="L335" s="74">
        <f t="shared" si="15"/>
        <v>120</v>
      </c>
      <c r="M335" s="34">
        <f t="shared" si="13"/>
        <v>60</v>
      </c>
    </row>
    <row r="336" spans="1:13" ht="15" customHeight="1" x14ac:dyDescent="0.2">
      <c r="A336" s="30" t="s">
        <v>542</v>
      </c>
      <c r="B336" s="31" t="s">
        <v>73</v>
      </c>
      <c r="C336" s="8"/>
      <c r="D336" s="32"/>
      <c r="E336" s="32" t="s">
        <v>252</v>
      </c>
      <c r="F336" s="40">
        <v>3</v>
      </c>
      <c r="G336" s="9">
        <v>6.5</v>
      </c>
      <c r="H336" s="10">
        <v>10</v>
      </c>
      <c r="I336" s="10">
        <f t="shared" si="14"/>
        <v>30</v>
      </c>
      <c r="J336" s="11"/>
      <c r="K336" s="11">
        <v>0</v>
      </c>
      <c r="L336" s="74">
        <f t="shared" si="15"/>
        <v>30</v>
      </c>
      <c r="M336" s="34">
        <f t="shared" si="13"/>
        <v>19.5</v>
      </c>
    </row>
    <row r="337" spans="1:13" ht="15" customHeight="1" x14ac:dyDescent="0.2">
      <c r="A337" s="30" t="s">
        <v>542</v>
      </c>
      <c r="B337" s="31" t="s">
        <v>54</v>
      </c>
      <c r="C337" s="8"/>
      <c r="D337" s="32" t="s">
        <v>550</v>
      </c>
      <c r="E337" s="32" t="s">
        <v>233</v>
      </c>
      <c r="F337" s="40">
        <v>1</v>
      </c>
      <c r="G337" s="9">
        <v>115.7</v>
      </c>
      <c r="H337" s="10">
        <v>188</v>
      </c>
      <c r="I337" s="10">
        <f t="shared" si="14"/>
        <v>188</v>
      </c>
      <c r="J337" s="11"/>
      <c r="K337" s="11">
        <v>0</v>
      </c>
      <c r="L337" s="74">
        <f t="shared" si="15"/>
        <v>188</v>
      </c>
      <c r="M337" s="34">
        <f t="shared" si="13"/>
        <v>115.7</v>
      </c>
    </row>
    <row r="338" spans="1:13" ht="15" customHeight="1" x14ac:dyDescent="0.2">
      <c r="A338" s="30" t="s">
        <v>542</v>
      </c>
      <c r="B338" s="31" t="s">
        <v>47</v>
      </c>
      <c r="C338" s="8"/>
      <c r="D338" s="32"/>
      <c r="E338" s="32" t="s">
        <v>226</v>
      </c>
      <c r="F338" s="40">
        <v>1</v>
      </c>
      <c r="G338" s="9">
        <v>115.7</v>
      </c>
      <c r="H338" s="10">
        <v>188</v>
      </c>
      <c r="I338" s="10">
        <f t="shared" si="14"/>
        <v>188</v>
      </c>
      <c r="J338" s="11"/>
      <c r="K338" s="11">
        <v>0</v>
      </c>
      <c r="L338" s="74">
        <f t="shared" si="15"/>
        <v>188</v>
      </c>
      <c r="M338" s="34">
        <f t="shared" si="13"/>
        <v>115.7</v>
      </c>
    </row>
    <row r="339" spans="1:13" ht="15" customHeight="1" x14ac:dyDescent="0.2">
      <c r="A339" s="30" t="s">
        <v>542</v>
      </c>
      <c r="B339" s="31" t="s">
        <v>77</v>
      </c>
      <c r="C339" s="8"/>
      <c r="D339" s="32"/>
      <c r="E339" s="32" t="s">
        <v>256</v>
      </c>
      <c r="F339" s="40">
        <v>1</v>
      </c>
      <c r="G339" s="9">
        <v>102.7</v>
      </c>
      <c r="H339" s="10">
        <v>248</v>
      </c>
      <c r="I339" s="10">
        <f t="shared" si="14"/>
        <v>248</v>
      </c>
      <c r="J339" s="11"/>
      <c r="K339" s="11">
        <v>0</v>
      </c>
      <c r="L339" s="74">
        <f t="shared" si="15"/>
        <v>248</v>
      </c>
      <c r="M339" s="34">
        <f t="shared" si="13"/>
        <v>102.7</v>
      </c>
    </row>
    <row r="340" spans="1:13" ht="15" customHeight="1" x14ac:dyDescent="0.2">
      <c r="A340" s="30" t="s">
        <v>542</v>
      </c>
      <c r="B340" s="31" t="s">
        <v>76</v>
      </c>
      <c r="C340" s="8"/>
      <c r="D340" s="32"/>
      <c r="E340" s="32" t="s">
        <v>255</v>
      </c>
      <c r="F340" s="40">
        <v>1</v>
      </c>
      <c r="G340" s="9">
        <v>50.7</v>
      </c>
      <c r="H340" s="10">
        <v>78</v>
      </c>
      <c r="I340" s="10">
        <f t="shared" si="14"/>
        <v>78</v>
      </c>
      <c r="J340" s="11"/>
      <c r="K340" s="11">
        <v>0</v>
      </c>
      <c r="L340" s="74">
        <f t="shared" si="15"/>
        <v>78</v>
      </c>
      <c r="M340" s="34">
        <f t="shared" si="13"/>
        <v>50.7</v>
      </c>
    </row>
    <row r="341" spans="1:13" ht="15" customHeight="1" x14ac:dyDescent="0.2">
      <c r="A341" s="30" t="s">
        <v>542</v>
      </c>
      <c r="B341" s="31" t="s">
        <v>70</v>
      </c>
      <c r="C341" s="8"/>
      <c r="D341" s="32" t="s">
        <v>551</v>
      </c>
      <c r="E341" s="32" t="s">
        <v>249</v>
      </c>
      <c r="F341" s="40">
        <v>8</v>
      </c>
      <c r="G341" s="9">
        <v>40</v>
      </c>
      <c r="H341" s="10">
        <v>50</v>
      </c>
      <c r="I341" s="10">
        <f t="shared" si="14"/>
        <v>400</v>
      </c>
      <c r="J341" s="11"/>
      <c r="K341" s="11">
        <v>0</v>
      </c>
      <c r="L341" s="74">
        <f t="shared" si="15"/>
        <v>400</v>
      </c>
      <c r="M341" s="34">
        <f t="shared" si="13"/>
        <v>320</v>
      </c>
    </row>
    <row r="342" spans="1:13" ht="15" customHeight="1" x14ac:dyDescent="0.2">
      <c r="A342" s="30" t="s">
        <v>542</v>
      </c>
      <c r="B342" s="31" t="s">
        <v>48</v>
      </c>
      <c r="C342" s="8"/>
      <c r="D342" s="32"/>
      <c r="E342" s="32" t="s">
        <v>227</v>
      </c>
      <c r="F342" s="40">
        <v>9</v>
      </c>
      <c r="G342" s="9">
        <v>13</v>
      </c>
      <c r="H342" s="10">
        <v>20</v>
      </c>
      <c r="I342" s="10">
        <f t="shared" si="14"/>
        <v>180</v>
      </c>
      <c r="J342" s="11"/>
      <c r="K342" s="11">
        <v>0</v>
      </c>
      <c r="L342" s="74">
        <f t="shared" si="15"/>
        <v>180</v>
      </c>
      <c r="M342" s="34">
        <f t="shared" si="13"/>
        <v>117</v>
      </c>
    </row>
    <row r="343" spans="1:13" ht="15" customHeight="1" x14ac:dyDescent="0.2">
      <c r="A343" s="30" t="s">
        <v>542</v>
      </c>
      <c r="B343" s="31" t="s">
        <v>64</v>
      </c>
      <c r="C343" s="8"/>
      <c r="D343" s="32"/>
      <c r="E343" s="32" t="s">
        <v>243</v>
      </c>
      <c r="F343" s="40">
        <v>1</v>
      </c>
      <c r="G343" s="9">
        <v>20</v>
      </c>
      <c r="H343" s="10">
        <v>48</v>
      </c>
      <c r="I343" s="10">
        <f t="shared" si="14"/>
        <v>48</v>
      </c>
      <c r="J343" s="11"/>
      <c r="K343" s="11">
        <v>0</v>
      </c>
      <c r="L343" s="74">
        <f t="shared" si="15"/>
        <v>48</v>
      </c>
      <c r="M343" s="34">
        <f t="shared" si="13"/>
        <v>20</v>
      </c>
    </row>
    <row r="344" spans="1:13" ht="15" customHeight="1" x14ac:dyDescent="0.2">
      <c r="A344" s="30" t="s">
        <v>542</v>
      </c>
      <c r="B344" s="31" t="s">
        <v>69</v>
      </c>
      <c r="C344" s="8"/>
      <c r="D344" s="32"/>
      <c r="E344" s="32" t="s">
        <v>248</v>
      </c>
      <c r="F344" s="40">
        <v>8</v>
      </c>
      <c r="G344" s="9">
        <v>32.5</v>
      </c>
      <c r="H344" s="10">
        <v>60</v>
      </c>
      <c r="I344" s="10">
        <f t="shared" si="14"/>
        <v>480</v>
      </c>
      <c r="J344" s="11"/>
      <c r="K344" s="11">
        <v>0</v>
      </c>
      <c r="L344" s="74">
        <f t="shared" si="15"/>
        <v>480</v>
      </c>
      <c r="M344" s="34">
        <f t="shared" si="13"/>
        <v>260</v>
      </c>
    </row>
    <row r="345" spans="1:13" ht="15" customHeight="1" x14ac:dyDescent="0.2">
      <c r="A345" s="30" t="s">
        <v>586</v>
      </c>
      <c r="B345" s="31" t="s">
        <v>69</v>
      </c>
      <c r="C345" s="8"/>
      <c r="D345" s="32" t="s">
        <v>594</v>
      </c>
      <c r="E345" s="32" t="s">
        <v>248</v>
      </c>
      <c r="F345" s="40">
        <v>1</v>
      </c>
      <c r="G345" s="9">
        <v>32.5</v>
      </c>
      <c r="H345" s="10">
        <v>60</v>
      </c>
      <c r="I345" s="10">
        <f t="shared" ref="I345:I388" si="16">F345*H345</f>
        <v>60</v>
      </c>
      <c r="J345" s="11"/>
      <c r="K345" s="11">
        <v>0</v>
      </c>
      <c r="L345" s="74">
        <f t="shared" si="15"/>
        <v>60</v>
      </c>
      <c r="M345" s="34">
        <f t="shared" si="13"/>
        <v>32.5</v>
      </c>
    </row>
    <row r="346" spans="1:13" ht="15" customHeight="1" x14ac:dyDescent="0.2">
      <c r="A346" s="30" t="s">
        <v>586</v>
      </c>
      <c r="B346" s="31" t="s">
        <v>70</v>
      </c>
      <c r="C346" s="8"/>
      <c r="D346" s="32"/>
      <c r="E346" s="32" t="s">
        <v>249</v>
      </c>
      <c r="F346" s="40">
        <v>2</v>
      </c>
      <c r="G346" s="9">
        <v>40</v>
      </c>
      <c r="H346" s="10">
        <v>50</v>
      </c>
      <c r="I346" s="10">
        <f t="shared" si="16"/>
        <v>100</v>
      </c>
      <c r="J346" s="11"/>
      <c r="K346" s="11">
        <v>0</v>
      </c>
      <c r="L346" s="74">
        <f t="shared" si="15"/>
        <v>100</v>
      </c>
      <c r="M346" s="34">
        <f t="shared" si="13"/>
        <v>80</v>
      </c>
    </row>
    <row r="347" spans="1:13" ht="15" customHeight="1" x14ac:dyDescent="0.2">
      <c r="A347" s="30" t="s">
        <v>586</v>
      </c>
      <c r="B347" s="31" t="s">
        <v>100</v>
      </c>
      <c r="C347" s="8"/>
      <c r="D347" s="32" t="s">
        <v>595</v>
      </c>
      <c r="E347" s="32" t="s">
        <v>279</v>
      </c>
      <c r="F347" s="40">
        <v>1</v>
      </c>
      <c r="G347" s="9">
        <v>291.20999999999998</v>
      </c>
      <c r="H347" s="10">
        <v>448</v>
      </c>
      <c r="I347" s="10">
        <f t="shared" si="16"/>
        <v>448</v>
      </c>
      <c r="J347" s="11"/>
      <c r="K347" s="11">
        <v>0</v>
      </c>
      <c r="L347" s="74">
        <f t="shared" si="15"/>
        <v>448</v>
      </c>
      <c r="M347" s="34">
        <f t="shared" ref="M347:M410" si="17">F347*G347</f>
        <v>291.20999999999998</v>
      </c>
    </row>
    <row r="348" spans="1:13" ht="15" customHeight="1" x14ac:dyDescent="0.2">
      <c r="A348" s="30" t="s">
        <v>586</v>
      </c>
      <c r="B348" s="31" t="s">
        <v>121</v>
      </c>
      <c r="C348" s="8"/>
      <c r="D348" s="32"/>
      <c r="E348" s="32" t="s">
        <v>300</v>
      </c>
      <c r="F348" s="40">
        <v>2</v>
      </c>
      <c r="G348" s="9">
        <v>63.7</v>
      </c>
      <c r="H348" s="10">
        <v>98</v>
      </c>
      <c r="I348" s="10">
        <f t="shared" si="16"/>
        <v>196</v>
      </c>
      <c r="J348" s="11"/>
      <c r="K348" s="11">
        <v>0</v>
      </c>
      <c r="L348" s="74">
        <f t="shared" si="15"/>
        <v>196</v>
      </c>
      <c r="M348" s="34">
        <f t="shared" si="17"/>
        <v>127.4</v>
      </c>
    </row>
    <row r="349" spans="1:13" ht="15" customHeight="1" x14ac:dyDescent="0.2">
      <c r="A349" s="30" t="s">
        <v>586</v>
      </c>
      <c r="B349" s="31" t="s">
        <v>52</v>
      </c>
      <c r="C349" s="8"/>
      <c r="D349" s="32"/>
      <c r="E349" s="32" t="s">
        <v>231</v>
      </c>
      <c r="F349" s="40">
        <v>2</v>
      </c>
      <c r="G349" s="9">
        <v>158</v>
      </c>
      <c r="H349" s="10">
        <v>228</v>
      </c>
      <c r="I349" s="10">
        <f t="shared" si="16"/>
        <v>456</v>
      </c>
      <c r="J349" s="11"/>
      <c r="K349" s="11">
        <v>0</v>
      </c>
      <c r="L349" s="74">
        <f t="shared" si="15"/>
        <v>456</v>
      </c>
      <c r="M349" s="34">
        <f t="shared" si="17"/>
        <v>316</v>
      </c>
    </row>
    <row r="350" spans="1:13" ht="15" customHeight="1" x14ac:dyDescent="0.2">
      <c r="A350" s="30" t="s">
        <v>586</v>
      </c>
      <c r="B350" s="31" t="s">
        <v>77</v>
      </c>
      <c r="C350" s="8"/>
      <c r="D350" s="32" t="s">
        <v>596</v>
      </c>
      <c r="E350" s="32" t="s">
        <v>256</v>
      </c>
      <c r="F350" s="40">
        <v>1</v>
      </c>
      <c r="G350" s="9">
        <v>102.7</v>
      </c>
      <c r="H350" s="10">
        <v>248</v>
      </c>
      <c r="I350" s="10">
        <f t="shared" si="16"/>
        <v>248</v>
      </c>
      <c r="J350" s="11"/>
      <c r="K350" s="11">
        <v>0</v>
      </c>
      <c r="L350" s="74">
        <f t="shared" si="15"/>
        <v>248</v>
      </c>
      <c r="M350" s="34">
        <f t="shared" si="17"/>
        <v>102.7</v>
      </c>
    </row>
    <row r="351" spans="1:13" ht="15" customHeight="1" x14ac:dyDescent="0.2">
      <c r="A351" s="30" t="s">
        <v>586</v>
      </c>
      <c r="B351" s="31" t="s">
        <v>54</v>
      </c>
      <c r="C351" s="8"/>
      <c r="D351" s="32" t="s">
        <v>597</v>
      </c>
      <c r="E351" s="32" t="s">
        <v>233</v>
      </c>
      <c r="F351" s="40">
        <v>2</v>
      </c>
      <c r="G351" s="9">
        <v>115.7</v>
      </c>
      <c r="H351" s="10">
        <v>188</v>
      </c>
      <c r="I351" s="10">
        <f t="shared" si="16"/>
        <v>376</v>
      </c>
      <c r="J351" s="11"/>
      <c r="K351" s="11">
        <v>0</v>
      </c>
      <c r="L351" s="74">
        <f t="shared" si="15"/>
        <v>376</v>
      </c>
      <c r="M351" s="34">
        <f t="shared" si="17"/>
        <v>231.4</v>
      </c>
    </row>
    <row r="352" spans="1:13" ht="15" customHeight="1" x14ac:dyDescent="0.2">
      <c r="A352" s="30" t="s">
        <v>586</v>
      </c>
      <c r="B352" s="31" t="s">
        <v>60</v>
      </c>
      <c r="C352" s="8"/>
      <c r="D352" s="32"/>
      <c r="E352" s="32" t="s">
        <v>239</v>
      </c>
      <c r="F352" s="40">
        <v>1</v>
      </c>
      <c r="G352" s="9">
        <v>100</v>
      </c>
      <c r="H352" s="10">
        <v>188</v>
      </c>
      <c r="I352" s="10">
        <f t="shared" si="16"/>
        <v>188</v>
      </c>
      <c r="J352" s="11"/>
      <c r="K352" s="11">
        <v>0</v>
      </c>
      <c r="L352" s="74">
        <f t="shared" si="15"/>
        <v>188</v>
      </c>
      <c r="M352" s="34">
        <f t="shared" si="17"/>
        <v>100</v>
      </c>
    </row>
    <row r="353" spans="1:13" ht="15" customHeight="1" x14ac:dyDescent="0.2">
      <c r="A353" s="30" t="s">
        <v>586</v>
      </c>
      <c r="B353" s="31" t="s">
        <v>90</v>
      </c>
      <c r="C353" s="8"/>
      <c r="D353" s="32" t="s">
        <v>598</v>
      </c>
      <c r="E353" s="32" t="s">
        <v>269</v>
      </c>
      <c r="F353" s="40">
        <v>1</v>
      </c>
      <c r="G353" s="9">
        <v>421.2</v>
      </c>
      <c r="H353" s="10">
        <v>648</v>
      </c>
      <c r="I353" s="10">
        <f t="shared" si="16"/>
        <v>648</v>
      </c>
      <c r="J353" s="11"/>
      <c r="K353" s="11">
        <v>0</v>
      </c>
      <c r="L353" s="74">
        <f t="shared" si="15"/>
        <v>648</v>
      </c>
      <c r="M353" s="34">
        <f t="shared" si="17"/>
        <v>421.2</v>
      </c>
    </row>
    <row r="354" spans="1:13" ht="15" customHeight="1" x14ac:dyDescent="0.2">
      <c r="A354" s="30" t="s">
        <v>586</v>
      </c>
      <c r="B354" s="31" t="s">
        <v>117</v>
      </c>
      <c r="C354" s="8"/>
      <c r="D354" s="32"/>
      <c r="E354" s="32" t="s">
        <v>296</v>
      </c>
      <c r="F354" s="40">
        <v>1</v>
      </c>
      <c r="G354" s="9">
        <v>291.2</v>
      </c>
      <c r="H354" s="10">
        <v>448</v>
      </c>
      <c r="I354" s="10">
        <f t="shared" si="16"/>
        <v>448</v>
      </c>
      <c r="J354" s="11"/>
      <c r="K354" s="11">
        <v>0</v>
      </c>
      <c r="L354" s="74">
        <f t="shared" si="15"/>
        <v>448</v>
      </c>
      <c r="M354" s="34">
        <f t="shared" si="17"/>
        <v>291.2</v>
      </c>
    </row>
    <row r="355" spans="1:13" ht="15" customHeight="1" x14ac:dyDescent="0.2">
      <c r="A355" s="30" t="s">
        <v>586</v>
      </c>
      <c r="B355" s="31" t="s">
        <v>58</v>
      </c>
      <c r="C355" s="8"/>
      <c r="D355" s="32" t="s">
        <v>599</v>
      </c>
      <c r="E355" s="32" t="s">
        <v>237</v>
      </c>
      <c r="F355" s="40">
        <v>1</v>
      </c>
      <c r="G355" s="9">
        <v>421.2</v>
      </c>
      <c r="H355" s="10">
        <v>648</v>
      </c>
      <c r="I355" s="10">
        <f t="shared" si="16"/>
        <v>648</v>
      </c>
      <c r="J355" s="11"/>
      <c r="K355" s="11">
        <v>0</v>
      </c>
      <c r="L355" s="74">
        <f t="shared" si="15"/>
        <v>648</v>
      </c>
      <c r="M355" s="34">
        <f t="shared" si="17"/>
        <v>421.2</v>
      </c>
    </row>
    <row r="356" spans="1:13" ht="15" customHeight="1" x14ac:dyDescent="0.2">
      <c r="A356" s="30" t="s">
        <v>586</v>
      </c>
      <c r="B356" s="31" t="s">
        <v>587</v>
      </c>
      <c r="C356" s="8"/>
      <c r="D356" s="32" t="s">
        <v>600</v>
      </c>
      <c r="E356" s="32" t="s">
        <v>611</v>
      </c>
      <c r="F356" s="40">
        <v>1</v>
      </c>
      <c r="G356" s="9">
        <v>40</v>
      </c>
      <c r="H356" s="10">
        <v>40</v>
      </c>
      <c r="I356" s="10">
        <f t="shared" si="16"/>
        <v>40</v>
      </c>
      <c r="J356" s="11"/>
      <c r="K356" s="11">
        <v>0</v>
      </c>
      <c r="L356" s="74">
        <f t="shared" si="15"/>
        <v>40</v>
      </c>
      <c r="M356" s="34">
        <f t="shared" si="17"/>
        <v>40</v>
      </c>
    </row>
    <row r="357" spans="1:13" ht="15" customHeight="1" x14ac:dyDescent="0.2">
      <c r="A357" s="30" t="s">
        <v>586</v>
      </c>
      <c r="B357" s="31" t="s">
        <v>123</v>
      </c>
      <c r="C357" s="8"/>
      <c r="D357" s="32"/>
      <c r="E357" s="32" t="s">
        <v>302</v>
      </c>
      <c r="F357" s="40">
        <v>1</v>
      </c>
      <c r="G357" s="9">
        <v>30</v>
      </c>
      <c r="H357" s="10">
        <v>30</v>
      </c>
      <c r="I357" s="10">
        <f t="shared" si="16"/>
        <v>30</v>
      </c>
      <c r="J357" s="11"/>
      <c r="K357" s="11">
        <v>20</v>
      </c>
      <c r="L357" s="74">
        <f t="shared" si="15"/>
        <v>10</v>
      </c>
      <c r="M357" s="34">
        <f t="shared" si="17"/>
        <v>30</v>
      </c>
    </row>
    <row r="358" spans="1:13" ht="15" customHeight="1" x14ac:dyDescent="0.2">
      <c r="A358" s="30" t="s">
        <v>586</v>
      </c>
      <c r="B358" s="31" t="s">
        <v>62</v>
      </c>
      <c r="C358" s="8"/>
      <c r="D358" s="32" t="s">
        <v>601</v>
      </c>
      <c r="E358" s="32" t="s">
        <v>241</v>
      </c>
      <c r="F358" s="40">
        <v>1</v>
      </c>
      <c r="G358" s="9">
        <v>188</v>
      </c>
      <c r="H358" s="10">
        <v>188</v>
      </c>
      <c r="I358" s="10">
        <f t="shared" si="16"/>
        <v>188</v>
      </c>
      <c r="J358" s="11"/>
      <c r="K358" s="11">
        <v>0</v>
      </c>
      <c r="L358" s="74">
        <f t="shared" si="15"/>
        <v>188</v>
      </c>
      <c r="M358" s="34">
        <f t="shared" si="17"/>
        <v>188</v>
      </c>
    </row>
    <row r="359" spans="1:13" ht="15" customHeight="1" x14ac:dyDescent="0.2">
      <c r="A359" s="30" t="s">
        <v>586</v>
      </c>
      <c r="B359" s="31" t="s">
        <v>49</v>
      </c>
      <c r="C359" s="8"/>
      <c r="D359" s="32"/>
      <c r="E359" s="32" t="s">
        <v>228</v>
      </c>
      <c r="F359" s="40">
        <v>2</v>
      </c>
      <c r="G359" s="9">
        <v>58</v>
      </c>
      <c r="H359" s="10">
        <v>88</v>
      </c>
      <c r="I359" s="10">
        <f t="shared" si="16"/>
        <v>176</v>
      </c>
      <c r="J359" s="11"/>
      <c r="K359" s="11">
        <v>0</v>
      </c>
      <c r="L359" s="74">
        <f t="shared" si="15"/>
        <v>176</v>
      </c>
      <c r="M359" s="34">
        <f t="shared" si="17"/>
        <v>116</v>
      </c>
    </row>
    <row r="360" spans="1:13" ht="15" customHeight="1" x14ac:dyDescent="0.2">
      <c r="A360" s="30" t="s">
        <v>586</v>
      </c>
      <c r="B360" s="31" t="s">
        <v>588</v>
      </c>
      <c r="C360" s="8"/>
      <c r="D360" s="32" t="s">
        <v>602</v>
      </c>
      <c r="E360" s="32" t="s">
        <v>612</v>
      </c>
      <c r="F360" s="40">
        <v>2</v>
      </c>
      <c r="G360" s="9">
        <v>63.7</v>
      </c>
      <c r="H360" s="10">
        <v>128</v>
      </c>
      <c r="I360" s="10">
        <f t="shared" si="16"/>
        <v>256</v>
      </c>
      <c r="J360" s="11"/>
      <c r="K360" s="11">
        <v>0</v>
      </c>
      <c r="L360" s="74">
        <f t="shared" si="15"/>
        <v>256</v>
      </c>
      <c r="M360" s="34">
        <f t="shared" si="17"/>
        <v>127.4</v>
      </c>
    </row>
    <row r="361" spans="1:13" ht="15" customHeight="1" x14ac:dyDescent="0.2">
      <c r="A361" s="30" t="s">
        <v>586</v>
      </c>
      <c r="B361" s="31" t="s">
        <v>80</v>
      </c>
      <c r="C361" s="8"/>
      <c r="D361" s="32"/>
      <c r="E361" s="32" t="s">
        <v>259</v>
      </c>
      <c r="F361" s="40">
        <v>1</v>
      </c>
      <c r="G361" s="9">
        <v>83.2</v>
      </c>
      <c r="H361" s="10">
        <v>128</v>
      </c>
      <c r="I361" s="10">
        <f t="shared" si="16"/>
        <v>128</v>
      </c>
      <c r="J361" s="11"/>
      <c r="K361" s="11">
        <v>0</v>
      </c>
      <c r="L361" s="74">
        <f t="shared" si="15"/>
        <v>128</v>
      </c>
      <c r="M361" s="34">
        <f t="shared" si="17"/>
        <v>83.2</v>
      </c>
    </row>
    <row r="362" spans="1:13" ht="15" customHeight="1" x14ac:dyDescent="0.2">
      <c r="A362" s="30" t="s">
        <v>586</v>
      </c>
      <c r="B362" s="31" t="s">
        <v>71</v>
      </c>
      <c r="C362" s="8"/>
      <c r="D362" s="32" t="s">
        <v>603</v>
      </c>
      <c r="E362" s="32" t="s">
        <v>250</v>
      </c>
      <c r="F362" s="40">
        <v>1</v>
      </c>
      <c r="G362" s="9">
        <v>258.7</v>
      </c>
      <c r="H362" s="10">
        <v>398</v>
      </c>
      <c r="I362" s="10">
        <f t="shared" si="16"/>
        <v>398</v>
      </c>
      <c r="J362" s="11"/>
      <c r="K362" s="11">
        <v>0</v>
      </c>
      <c r="L362" s="74">
        <f t="shared" si="15"/>
        <v>398</v>
      </c>
      <c r="M362" s="34">
        <f t="shared" si="17"/>
        <v>258.7</v>
      </c>
    </row>
    <row r="363" spans="1:13" ht="15" customHeight="1" x14ac:dyDescent="0.2">
      <c r="A363" s="30" t="s">
        <v>586</v>
      </c>
      <c r="B363" s="31" t="s">
        <v>61</v>
      </c>
      <c r="C363" s="8"/>
      <c r="D363" s="32" t="s">
        <v>604</v>
      </c>
      <c r="E363" s="32" t="s">
        <v>240</v>
      </c>
      <c r="F363" s="40">
        <v>1</v>
      </c>
      <c r="G363" s="9">
        <v>323.7</v>
      </c>
      <c r="H363" s="10">
        <v>698</v>
      </c>
      <c r="I363" s="10">
        <f t="shared" si="16"/>
        <v>698</v>
      </c>
      <c r="J363" s="11"/>
      <c r="K363" s="11">
        <v>0</v>
      </c>
      <c r="L363" s="74">
        <f t="shared" si="15"/>
        <v>698</v>
      </c>
      <c r="M363" s="34">
        <f t="shared" si="17"/>
        <v>323.7</v>
      </c>
    </row>
    <row r="364" spans="1:13" ht="15" customHeight="1" x14ac:dyDescent="0.2">
      <c r="A364" s="30" t="s">
        <v>586</v>
      </c>
      <c r="B364" s="31" t="s">
        <v>62</v>
      </c>
      <c r="C364" s="8"/>
      <c r="D364" s="32"/>
      <c r="E364" s="32" t="s">
        <v>241</v>
      </c>
      <c r="F364" s="40">
        <v>1</v>
      </c>
      <c r="G364" s="9">
        <v>188</v>
      </c>
      <c r="H364" s="10">
        <v>188</v>
      </c>
      <c r="I364" s="10">
        <f t="shared" si="16"/>
        <v>188</v>
      </c>
      <c r="J364" s="11"/>
      <c r="K364" s="11">
        <v>0</v>
      </c>
      <c r="L364" s="74">
        <f t="shared" si="15"/>
        <v>188</v>
      </c>
      <c r="M364" s="34">
        <f t="shared" si="17"/>
        <v>188</v>
      </c>
    </row>
    <row r="365" spans="1:13" ht="15" customHeight="1" x14ac:dyDescent="0.2">
      <c r="A365" s="30" t="s">
        <v>586</v>
      </c>
      <c r="B365" s="31" t="s">
        <v>79</v>
      </c>
      <c r="C365" s="8"/>
      <c r="D365" s="32"/>
      <c r="E365" s="32" t="s">
        <v>258</v>
      </c>
      <c r="F365" s="40">
        <v>1</v>
      </c>
      <c r="G365" s="9">
        <v>122.2</v>
      </c>
      <c r="H365" s="10">
        <v>228</v>
      </c>
      <c r="I365" s="10">
        <f t="shared" si="16"/>
        <v>228</v>
      </c>
      <c r="J365" s="11"/>
      <c r="K365" s="11">
        <v>0</v>
      </c>
      <c r="L365" s="74">
        <f t="shared" si="15"/>
        <v>228</v>
      </c>
      <c r="M365" s="34">
        <f t="shared" si="17"/>
        <v>122.2</v>
      </c>
    </row>
    <row r="366" spans="1:13" ht="15" customHeight="1" x14ac:dyDescent="0.2">
      <c r="A366" s="30" t="s">
        <v>586</v>
      </c>
      <c r="B366" s="31" t="s">
        <v>76</v>
      </c>
      <c r="C366" s="8"/>
      <c r="D366" s="32"/>
      <c r="E366" s="32" t="s">
        <v>255</v>
      </c>
      <c r="F366" s="40">
        <v>1</v>
      </c>
      <c r="G366" s="9">
        <v>50.7</v>
      </c>
      <c r="H366" s="10">
        <v>78</v>
      </c>
      <c r="I366" s="10">
        <f t="shared" si="16"/>
        <v>78</v>
      </c>
      <c r="J366" s="11"/>
      <c r="K366" s="11">
        <v>0</v>
      </c>
      <c r="L366" s="74">
        <f t="shared" si="15"/>
        <v>78</v>
      </c>
      <c r="M366" s="34">
        <f t="shared" si="17"/>
        <v>50.7</v>
      </c>
    </row>
    <row r="367" spans="1:13" ht="15" customHeight="1" x14ac:dyDescent="0.2">
      <c r="A367" s="30" t="s">
        <v>586</v>
      </c>
      <c r="B367" s="31" t="s">
        <v>589</v>
      </c>
      <c r="C367" s="8"/>
      <c r="D367" s="32" t="s">
        <v>605</v>
      </c>
      <c r="E367" s="32" t="s">
        <v>613</v>
      </c>
      <c r="F367" s="40">
        <v>7</v>
      </c>
      <c r="G367" s="9">
        <v>7.32</v>
      </c>
      <c r="H367" s="10">
        <v>10</v>
      </c>
      <c r="I367" s="10">
        <f t="shared" si="16"/>
        <v>70</v>
      </c>
      <c r="J367" s="11"/>
      <c r="K367" s="11">
        <v>0</v>
      </c>
      <c r="L367" s="74">
        <f t="shared" si="15"/>
        <v>70</v>
      </c>
      <c r="M367" s="34">
        <f t="shared" si="17"/>
        <v>51.24</v>
      </c>
    </row>
    <row r="368" spans="1:13" ht="15" customHeight="1" x14ac:dyDescent="0.2">
      <c r="A368" s="30" t="s">
        <v>586</v>
      </c>
      <c r="B368" s="31" t="s">
        <v>111</v>
      </c>
      <c r="C368" s="8"/>
      <c r="D368" s="32"/>
      <c r="E368" s="32" t="s">
        <v>290</v>
      </c>
      <c r="F368" s="40">
        <v>3</v>
      </c>
      <c r="G368" s="9">
        <v>7.9</v>
      </c>
      <c r="H368" s="10">
        <v>10</v>
      </c>
      <c r="I368" s="10">
        <f t="shared" si="16"/>
        <v>30</v>
      </c>
      <c r="J368" s="11"/>
      <c r="K368" s="11">
        <v>0</v>
      </c>
      <c r="L368" s="74">
        <f t="shared" si="15"/>
        <v>30</v>
      </c>
      <c r="M368" s="34">
        <f t="shared" si="17"/>
        <v>23.700000000000003</v>
      </c>
    </row>
    <row r="369" spans="1:13" ht="15" customHeight="1" x14ac:dyDescent="0.2">
      <c r="A369" s="30" t="s">
        <v>586</v>
      </c>
      <c r="B369" s="31" t="s">
        <v>72</v>
      </c>
      <c r="C369" s="8"/>
      <c r="D369" s="32" t="s">
        <v>606</v>
      </c>
      <c r="E369" s="32" t="s">
        <v>251</v>
      </c>
      <c r="F369" s="40">
        <v>1</v>
      </c>
      <c r="G369" s="9">
        <v>83.2</v>
      </c>
      <c r="H369" s="10">
        <v>128</v>
      </c>
      <c r="I369" s="10">
        <f t="shared" si="16"/>
        <v>128</v>
      </c>
      <c r="J369" s="11"/>
      <c r="K369" s="11">
        <v>0</v>
      </c>
      <c r="L369" s="74">
        <f t="shared" si="15"/>
        <v>128</v>
      </c>
      <c r="M369" s="34">
        <f t="shared" si="17"/>
        <v>83.2</v>
      </c>
    </row>
    <row r="370" spans="1:13" ht="15" customHeight="1" x14ac:dyDescent="0.2">
      <c r="A370" s="30" t="s">
        <v>586</v>
      </c>
      <c r="B370" s="31" t="s">
        <v>65</v>
      </c>
      <c r="C370" s="8"/>
      <c r="D370" s="32"/>
      <c r="E370" s="32" t="s">
        <v>244</v>
      </c>
      <c r="F370" s="40">
        <v>1</v>
      </c>
      <c r="G370" s="9">
        <v>65</v>
      </c>
      <c r="H370" s="10">
        <v>128</v>
      </c>
      <c r="I370" s="10">
        <f t="shared" si="16"/>
        <v>128</v>
      </c>
      <c r="J370" s="11"/>
      <c r="K370" s="11">
        <v>0</v>
      </c>
      <c r="L370" s="74">
        <f t="shared" si="15"/>
        <v>128</v>
      </c>
      <c r="M370" s="34">
        <f t="shared" si="17"/>
        <v>65</v>
      </c>
    </row>
    <row r="371" spans="1:13" ht="15" customHeight="1" x14ac:dyDescent="0.2">
      <c r="A371" s="30" t="s">
        <v>586</v>
      </c>
      <c r="B371" s="31" t="s">
        <v>85</v>
      </c>
      <c r="C371" s="8"/>
      <c r="D371" s="32"/>
      <c r="E371" s="32" t="s">
        <v>264</v>
      </c>
      <c r="F371" s="40">
        <v>1</v>
      </c>
      <c r="G371" s="9">
        <v>83.2</v>
      </c>
      <c r="H371" s="10">
        <v>138</v>
      </c>
      <c r="I371" s="10">
        <f t="shared" si="16"/>
        <v>138</v>
      </c>
      <c r="J371" s="11"/>
      <c r="K371" s="11">
        <v>0</v>
      </c>
      <c r="L371" s="74">
        <f t="shared" si="15"/>
        <v>138</v>
      </c>
      <c r="M371" s="34">
        <f t="shared" si="17"/>
        <v>83.2</v>
      </c>
    </row>
    <row r="372" spans="1:13" ht="15" customHeight="1" x14ac:dyDescent="0.2">
      <c r="A372" s="30" t="s">
        <v>586</v>
      </c>
      <c r="B372" s="31" t="s">
        <v>63</v>
      </c>
      <c r="C372" s="8"/>
      <c r="D372" s="32"/>
      <c r="E372" s="32" t="s">
        <v>242</v>
      </c>
      <c r="F372" s="40">
        <v>1</v>
      </c>
      <c r="G372" s="9">
        <v>5</v>
      </c>
      <c r="H372" s="10">
        <v>10</v>
      </c>
      <c r="I372" s="10">
        <f t="shared" si="16"/>
        <v>10</v>
      </c>
      <c r="J372" s="11"/>
      <c r="K372" s="11">
        <v>0</v>
      </c>
      <c r="L372" s="74">
        <f t="shared" si="15"/>
        <v>10</v>
      </c>
      <c r="M372" s="34">
        <f t="shared" si="17"/>
        <v>5</v>
      </c>
    </row>
    <row r="373" spans="1:13" ht="15" customHeight="1" x14ac:dyDescent="0.2">
      <c r="A373" s="30" t="s">
        <v>586</v>
      </c>
      <c r="B373" s="31" t="s">
        <v>60</v>
      </c>
      <c r="C373" s="8"/>
      <c r="D373" s="32" t="s">
        <v>607</v>
      </c>
      <c r="E373" s="32" t="s">
        <v>239</v>
      </c>
      <c r="F373" s="40">
        <v>1</v>
      </c>
      <c r="G373" s="9">
        <v>100</v>
      </c>
      <c r="H373" s="10">
        <v>188</v>
      </c>
      <c r="I373" s="10">
        <f t="shared" si="16"/>
        <v>188</v>
      </c>
      <c r="J373" s="11"/>
      <c r="K373" s="11">
        <v>0</v>
      </c>
      <c r="L373" s="74">
        <f t="shared" si="15"/>
        <v>188</v>
      </c>
      <c r="M373" s="34">
        <f t="shared" si="17"/>
        <v>100</v>
      </c>
    </row>
    <row r="374" spans="1:13" ht="15" customHeight="1" x14ac:dyDescent="0.2">
      <c r="A374" s="30" t="s">
        <v>586</v>
      </c>
      <c r="B374" s="31" t="s">
        <v>48</v>
      </c>
      <c r="C374" s="8"/>
      <c r="D374" s="32"/>
      <c r="E374" s="32" t="s">
        <v>227</v>
      </c>
      <c r="F374" s="40">
        <v>1</v>
      </c>
      <c r="G374" s="9">
        <v>13</v>
      </c>
      <c r="H374" s="10">
        <v>20</v>
      </c>
      <c r="I374" s="10">
        <f t="shared" si="16"/>
        <v>20</v>
      </c>
      <c r="J374" s="11"/>
      <c r="K374" s="11">
        <v>0</v>
      </c>
      <c r="L374" s="74">
        <f t="shared" si="15"/>
        <v>20</v>
      </c>
      <c r="M374" s="34">
        <f t="shared" si="17"/>
        <v>13</v>
      </c>
    </row>
    <row r="375" spans="1:13" ht="15" customHeight="1" x14ac:dyDescent="0.2">
      <c r="A375" s="30" t="s">
        <v>586</v>
      </c>
      <c r="B375" s="31" t="s">
        <v>590</v>
      </c>
      <c r="C375" s="8"/>
      <c r="D375" s="32"/>
      <c r="E375" s="32" t="s">
        <v>614</v>
      </c>
      <c r="F375" s="40">
        <v>1</v>
      </c>
      <c r="G375" s="9">
        <v>29</v>
      </c>
      <c r="H375" s="10">
        <v>38</v>
      </c>
      <c r="I375" s="10">
        <f t="shared" si="16"/>
        <v>38</v>
      </c>
      <c r="J375" s="11"/>
      <c r="K375" s="11">
        <v>0</v>
      </c>
      <c r="L375" s="74">
        <f t="shared" si="15"/>
        <v>38</v>
      </c>
      <c r="M375" s="34">
        <f t="shared" si="17"/>
        <v>29</v>
      </c>
    </row>
    <row r="376" spans="1:13" ht="15" customHeight="1" x14ac:dyDescent="0.2">
      <c r="A376" s="30" t="s">
        <v>586</v>
      </c>
      <c r="B376" s="31" t="s">
        <v>63</v>
      </c>
      <c r="C376" s="8"/>
      <c r="D376" s="32"/>
      <c r="E376" s="32" t="s">
        <v>242</v>
      </c>
      <c r="F376" s="40">
        <v>1</v>
      </c>
      <c r="G376" s="9">
        <v>5</v>
      </c>
      <c r="H376" s="10">
        <v>10</v>
      </c>
      <c r="I376" s="10">
        <f t="shared" si="16"/>
        <v>10</v>
      </c>
      <c r="J376" s="11"/>
      <c r="K376" s="11">
        <v>0</v>
      </c>
      <c r="L376" s="74">
        <f t="shared" si="15"/>
        <v>10</v>
      </c>
      <c r="M376" s="34">
        <f t="shared" si="17"/>
        <v>5</v>
      </c>
    </row>
    <row r="377" spans="1:13" ht="15" customHeight="1" x14ac:dyDescent="0.2">
      <c r="A377" s="30" t="s">
        <v>586</v>
      </c>
      <c r="B377" s="31" t="s">
        <v>57</v>
      </c>
      <c r="C377" s="8"/>
      <c r="D377" s="32" t="s">
        <v>608</v>
      </c>
      <c r="E377" s="32" t="s">
        <v>236</v>
      </c>
      <c r="F377" s="40">
        <v>1</v>
      </c>
      <c r="G377" s="9">
        <v>187.2</v>
      </c>
      <c r="H377" s="10">
        <v>288</v>
      </c>
      <c r="I377" s="10">
        <f t="shared" si="16"/>
        <v>288</v>
      </c>
      <c r="J377" s="11"/>
      <c r="K377" s="11">
        <v>0</v>
      </c>
      <c r="L377" s="74">
        <f t="shared" si="15"/>
        <v>288</v>
      </c>
      <c r="M377" s="34">
        <f t="shared" si="17"/>
        <v>187.2</v>
      </c>
    </row>
    <row r="378" spans="1:13" ht="15" customHeight="1" x14ac:dyDescent="0.2">
      <c r="A378" s="30" t="s">
        <v>586</v>
      </c>
      <c r="B378" s="31" t="s">
        <v>591</v>
      </c>
      <c r="C378" s="8"/>
      <c r="D378" s="32" t="s">
        <v>609</v>
      </c>
      <c r="E378" s="32" t="s">
        <v>615</v>
      </c>
      <c r="F378" s="40">
        <v>1</v>
      </c>
      <c r="G378" s="9">
        <v>7410</v>
      </c>
      <c r="H378" s="10">
        <v>12350</v>
      </c>
      <c r="I378" s="10">
        <f t="shared" si="16"/>
        <v>12350</v>
      </c>
      <c r="J378" s="11"/>
      <c r="K378" s="11">
        <v>0</v>
      </c>
      <c r="L378" s="74">
        <f t="shared" si="15"/>
        <v>12350</v>
      </c>
      <c r="M378" s="34">
        <f t="shared" si="17"/>
        <v>7410</v>
      </c>
    </row>
    <row r="379" spans="1:13" ht="15" customHeight="1" x14ac:dyDescent="0.2">
      <c r="A379" s="30" t="s">
        <v>586</v>
      </c>
      <c r="B379" s="31" t="s">
        <v>61</v>
      </c>
      <c r="C379" s="8"/>
      <c r="D379" s="32" t="s">
        <v>610</v>
      </c>
      <c r="E379" s="32" t="s">
        <v>240</v>
      </c>
      <c r="F379" s="40">
        <v>2</v>
      </c>
      <c r="G379" s="9">
        <v>323.7</v>
      </c>
      <c r="H379" s="10">
        <v>698</v>
      </c>
      <c r="I379" s="10">
        <f t="shared" si="16"/>
        <v>1396</v>
      </c>
      <c r="J379" s="11"/>
      <c r="K379" s="11">
        <v>0</v>
      </c>
      <c r="L379" s="74">
        <f t="shared" si="15"/>
        <v>1396</v>
      </c>
      <c r="M379" s="34">
        <f t="shared" si="17"/>
        <v>647.4</v>
      </c>
    </row>
    <row r="380" spans="1:13" ht="15" customHeight="1" x14ac:dyDescent="0.2">
      <c r="A380" s="30" t="s">
        <v>586</v>
      </c>
      <c r="B380" s="31" t="s">
        <v>76</v>
      </c>
      <c r="C380" s="8"/>
      <c r="D380" s="32"/>
      <c r="E380" s="32" t="s">
        <v>255</v>
      </c>
      <c r="F380" s="40">
        <v>2</v>
      </c>
      <c r="G380" s="9">
        <v>50.7</v>
      </c>
      <c r="H380" s="10">
        <v>78</v>
      </c>
      <c r="I380" s="10">
        <f t="shared" si="16"/>
        <v>156</v>
      </c>
      <c r="J380" s="11"/>
      <c r="K380" s="11">
        <v>0</v>
      </c>
      <c r="L380" s="74">
        <f t="shared" si="15"/>
        <v>156</v>
      </c>
      <c r="M380" s="34">
        <f t="shared" si="17"/>
        <v>101.4</v>
      </c>
    </row>
    <row r="381" spans="1:13" ht="15" customHeight="1" x14ac:dyDescent="0.2">
      <c r="A381" s="30" t="s">
        <v>586</v>
      </c>
      <c r="B381" s="31" t="s">
        <v>55</v>
      </c>
      <c r="C381" s="8"/>
      <c r="D381" s="32"/>
      <c r="E381" s="32" t="s">
        <v>234</v>
      </c>
      <c r="F381" s="40">
        <v>2</v>
      </c>
      <c r="G381" s="9">
        <v>63.7</v>
      </c>
      <c r="H381" s="10">
        <v>228</v>
      </c>
      <c r="I381" s="10">
        <f t="shared" si="16"/>
        <v>456</v>
      </c>
      <c r="J381" s="11"/>
      <c r="K381" s="11">
        <v>0</v>
      </c>
      <c r="L381" s="74">
        <f t="shared" si="15"/>
        <v>456</v>
      </c>
      <c r="M381" s="34">
        <f t="shared" si="17"/>
        <v>127.4</v>
      </c>
    </row>
    <row r="382" spans="1:13" ht="15" customHeight="1" x14ac:dyDescent="0.2">
      <c r="A382" s="30" t="s">
        <v>586</v>
      </c>
      <c r="B382" s="31" t="s">
        <v>54</v>
      </c>
      <c r="C382" s="8"/>
      <c r="D382" s="32"/>
      <c r="E382" s="32" t="s">
        <v>233</v>
      </c>
      <c r="F382" s="40">
        <v>2</v>
      </c>
      <c r="G382" s="9">
        <v>115.7</v>
      </c>
      <c r="H382" s="10">
        <v>188</v>
      </c>
      <c r="I382" s="10">
        <f t="shared" si="16"/>
        <v>376</v>
      </c>
      <c r="J382" s="11"/>
      <c r="K382" s="11">
        <v>0</v>
      </c>
      <c r="L382" s="74">
        <f t="shared" si="15"/>
        <v>376</v>
      </c>
      <c r="M382" s="34">
        <f t="shared" si="17"/>
        <v>231.4</v>
      </c>
    </row>
    <row r="383" spans="1:13" ht="15" customHeight="1" x14ac:dyDescent="0.2">
      <c r="A383" s="30" t="s">
        <v>586</v>
      </c>
      <c r="B383" s="31" t="s">
        <v>50</v>
      </c>
      <c r="C383" s="8"/>
      <c r="D383" s="32"/>
      <c r="E383" s="32" t="s">
        <v>229</v>
      </c>
      <c r="F383" s="40">
        <v>6</v>
      </c>
      <c r="G383" s="9">
        <v>44.2</v>
      </c>
      <c r="H383" s="10">
        <v>78</v>
      </c>
      <c r="I383" s="10">
        <f t="shared" si="16"/>
        <v>468</v>
      </c>
      <c r="J383" s="11"/>
      <c r="K383" s="11">
        <v>0</v>
      </c>
      <c r="L383" s="74">
        <f t="shared" si="15"/>
        <v>468</v>
      </c>
      <c r="M383" s="34">
        <f t="shared" si="17"/>
        <v>265.20000000000005</v>
      </c>
    </row>
    <row r="384" spans="1:13" ht="15" customHeight="1" x14ac:dyDescent="0.2">
      <c r="A384" s="30" t="s">
        <v>586</v>
      </c>
      <c r="B384" s="31" t="s">
        <v>592</v>
      </c>
      <c r="C384" s="8"/>
      <c r="D384" s="32"/>
      <c r="E384" s="32" t="s">
        <v>616</v>
      </c>
      <c r="F384" s="40">
        <v>4</v>
      </c>
      <c r="G384" s="9">
        <v>13.75</v>
      </c>
      <c r="H384" s="10">
        <v>20</v>
      </c>
      <c r="I384" s="10">
        <f t="shared" si="16"/>
        <v>80</v>
      </c>
      <c r="J384" s="11"/>
      <c r="K384" s="11">
        <v>0</v>
      </c>
      <c r="L384" s="74">
        <f t="shared" si="15"/>
        <v>80</v>
      </c>
      <c r="M384" s="34">
        <f t="shared" si="17"/>
        <v>55</v>
      </c>
    </row>
    <row r="385" spans="1:13" ht="15" customHeight="1" x14ac:dyDescent="0.2">
      <c r="A385" s="30" t="s">
        <v>586</v>
      </c>
      <c r="B385" s="31" t="s">
        <v>593</v>
      </c>
      <c r="C385" s="8"/>
      <c r="D385" s="32"/>
      <c r="E385" s="32" t="s">
        <v>617</v>
      </c>
      <c r="F385" s="40">
        <v>1</v>
      </c>
      <c r="G385" s="9">
        <v>12</v>
      </c>
      <c r="H385" s="10">
        <v>20</v>
      </c>
      <c r="I385" s="10">
        <f t="shared" si="16"/>
        <v>20</v>
      </c>
      <c r="J385" s="11"/>
      <c r="K385" s="11">
        <v>0</v>
      </c>
      <c r="L385" s="74">
        <f t="shared" si="15"/>
        <v>20</v>
      </c>
      <c r="M385" s="34">
        <f t="shared" si="17"/>
        <v>12</v>
      </c>
    </row>
    <row r="386" spans="1:13" ht="15" customHeight="1" x14ac:dyDescent="0.2">
      <c r="A386" s="30" t="s">
        <v>586</v>
      </c>
      <c r="B386" s="31" t="s">
        <v>47</v>
      </c>
      <c r="C386" s="8"/>
      <c r="D386" s="32"/>
      <c r="E386" s="32" t="s">
        <v>226</v>
      </c>
      <c r="F386" s="40">
        <v>2</v>
      </c>
      <c r="G386" s="9">
        <v>115.7</v>
      </c>
      <c r="H386" s="10">
        <v>188</v>
      </c>
      <c r="I386" s="10">
        <f t="shared" si="16"/>
        <v>376</v>
      </c>
      <c r="J386" s="11"/>
      <c r="K386" s="11">
        <v>0</v>
      </c>
      <c r="L386" s="74">
        <f t="shared" si="15"/>
        <v>376</v>
      </c>
      <c r="M386" s="34">
        <f t="shared" si="17"/>
        <v>231.4</v>
      </c>
    </row>
    <row r="387" spans="1:13" ht="15" customHeight="1" x14ac:dyDescent="0.2">
      <c r="A387" s="30" t="s">
        <v>586</v>
      </c>
      <c r="B387" s="31" t="s">
        <v>95</v>
      </c>
      <c r="C387" s="8"/>
      <c r="D387" s="32"/>
      <c r="E387" s="32" t="s">
        <v>274</v>
      </c>
      <c r="F387" s="40">
        <v>2</v>
      </c>
      <c r="G387" s="9">
        <v>160</v>
      </c>
      <c r="H387" s="10">
        <v>228</v>
      </c>
      <c r="I387" s="10">
        <f t="shared" si="16"/>
        <v>456</v>
      </c>
      <c r="J387" s="11"/>
      <c r="K387" s="11">
        <v>0</v>
      </c>
      <c r="L387" s="74">
        <f t="shared" si="15"/>
        <v>456</v>
      </c>
      <c r="M387" s="34">
        <f t="shared" si="17"/>
        <v>320</v>
      </c>
    </row>
    <row r="388" spans="1:13" ht="15" customHeight="1" x14ac:dyDescent="0.2">
      <c r="A388" s="30" t="s">
        <v>586</v>
      </c>
      <c r="B388" s="31" t="s">
        <v>125</v>
      </c>
      <c r="C388" s="8"/>
      <c r="D388" s="32"/>
      <c r="E388" s="32" t="s">
        <v>304</v>
      </c>
      <c r="F388" s="40">
        <v>1</v>
      </c>
      <c r="G388" s="9">
        <v>24.7</v>
      </c>
      <c r="H388" s="10">
        <v>38</v>
      </c>
      <c r="I388" s="10">
        <f t="shared" si="16"/>
        <v>38</v>
      </c>
      <c r="J388" s="11"/>
      <c r="K388" s="11">
        <v>0</v>
      </c>
      <c r="L388" s="74">
        <f t="shared" si="15"/>
        <v>38</v>
      </c>
      <c r="M388" s="34">
        <f t="shared" si="17"/>
        <v>24.7</v>
      </c>
    </row>
    <row r="389" spans="1:13" ht="15" customHeight="1" x14ac:dyDescent="0.2">
      <c r="A389" s="30" t="s">
        <v>628</v>
      </c>
      <c r="B389" s="31" t="s">
        <v>69</v>
      </c>
      <c r="C389" s="8"/>
      <c r="D389" s="32" t="s">
        <v>632</v>
      </c>
      <c r="E389" s="32" t="s">
        <v>248</v>
      </c>
      <c r="F389" s="40">
        <v>9</v>
      </c>
      <c r="G389" s="9">
        <v>32.5</v>
      </c>
      <c r="H389" s="10">
        <v>60</v>
      </c>
      <c r="I389" s="10">
        <f t="shared" ref="I389:I454" si="18">F389*H389</f>
        <v>540</v>
      </c>
      <c r="J389" s="11"/>
      <c r="K389" s="11">
        <v>0</v>
      </c>
      <c r="L389" s="74">
        <f t="shared" ref="L389:L454" si="19">I389-K389</f>
        <v>540</v>
      </c>
      <c r="M389" s="34">
        <f t="shared" si="17"/>
        <v>292.5</v>
      </c>
    </row>
    <row r="390" spans="1:13" ht="15" customHeight="1" x14ac:dyDescent="0.2">
      <c r="A390" s="30" t="s">
        <v>628</v>
      </c>
      <c r="B390" s="31" t="s">
        <v>48</v>
      </c>
      <c r="C390" s="8"/>
      <c r="D390" s="32"/>
      <c r="E390" s="32" t="s">
        <v>227</v>
      </c>
      <c r="F390" s="40">
        <v>8</v>
      </c>
      <c r="G390" s="9">
        <v>13</v>
      </c>
      <c r="H390" s="10">
        <v>20</v>
      </c>
      <c r="I390" s="10">
        <f t="shared" si="18"/>
        <v>160</v>
      </c>
      <c r="J390" s="11"/>
      <c r="K390" s="11">
        <v>0</v>
      </c>
      <c r="L390" s="74">
        <f t="shared" si="19"/>
        <v>160</v>
      </c>
      <c r="M390" s="34">
        <f t="shared" si="17"/>
        <v>104</v>
      </c>
    </row>
    <row r="391" spans="1:13" ht="15" customHeight="1" x14ac:dyDescent="0.2">
      <c r="A391" s="30" t="s">
        <v>628</v>
      </c>
      <c r="B391" s="31" t="s">
        <v>116</v>
      </c>
      <c r="C391" s="8"/>
      <c r="D391" s="32"/>
      <c r="E391" s="32" t="s">
        <v>295</v>
      </c>
      <c r="F391" s="40">
        <v>9</v>
      </c>
      <c r="G391" s="9">
        <v>15.26</v>
      </c>
      <c r="H391" s="10">
        <v>30</v>
      </c>
      <c r="I391" s="10">
        <f t="shared" si="18"/>
        <v>270</v>
      </c>
      <c r="J391" s="11"/>
      <c r="K391" s="11">
        <v>0</v>
      </c>
      <c r="L391" s="74">
        <f t="shared" si="19"/>
        <v>270</v>
      </c>
      <c r="M391" s="34">
        <f t="shared" si="17"/>
        <v>137.34</v>
      </c>
    </row>
    <row r="392" spans="1:13" ht="15" customHeight="1" x14ac:dyDescent="0.2">
      <c r="A392" s="30" t="s">
        <v>628</v>
      </c>
      <c r="B392" s="31" t="s">
        <v>73</v>
      </c>
      <c r="C392" s="8"/>
      <c r="D392" s="32"/>
      <c r="E392" s="32" t="s">
        <v>252</v>
      </c>
      <c r="F392" s="40">
        <v>1</v>
      </c>
      <c r="G392" s="9">
        <v>6.5</v>
      </c>
      <c r="H392" s="10">
        <v>10</v>
      </c>
      <c r="I392" s="10">
        <f t="shared" si="18"/>
        <v>10</v>
      </c>
      <c r="J392" s="11"/>
      <c r="K392" s="11">
        <v>5</v>
      </c>
      <c r="L392" s="74">
        <f t="shared" si="19"/>
        <v>5</v>
      </c>
      <c r="M392" s="34">
        <f t="shared" si="17"/>
        <v>6.5</v>
      </c>
    </row>
    <row r="393" spans="1:13" ht="15" customHeight="1" x14ac:dyDescent="0.2">
      <c r="A393" s="30" t="s">
        <v>628</v>
      </c>
      <c r="B393" s="31" t="s">
        <v>99</v>
      </c>
      <c r="C393" s="8"/>
      <c r="D393" s="32" t="s">
        <v>633</v>
      </c>
      <c r="E393" s="32" t="s">
        <v>278</v>
      </c>
      <c r="F393" s="40">
        <v>1</v>
      </c>
      <c r="G393" s="9">
        <v>291.2</v>
      </c>
      <c r="H393" s="10">
        <v>448</v>
      </c>
      <c r="I393" s="10">
        <f t="shared" si="18"/>
        <v>448</v>
      </c>
      <c r="J393" s="11"/>
      <c r="K393" s="11">
        <v>0</v>
      </c>
      <c r="L393" s="74">
        <f t="shared" si="19"/>
        <v>448</v>
      </c>
      <c r="M393" s="34">
        <f t="shared" si="17"/>
        <v>291.2</v>
      </c>
    </row>
    <row r="394" spans="1:13" ht="15" customHeight="1" x14ac:dyDescent="0.2">
      <c r="A394" s="30" t="s">
        <v>628</v>
      </c>
      <c r="B394" s="31" t="s">
        <v>54</v>
      </c>
      <c r="C394" s="8"/>
      <c r="D394" s="32" t="s">
        <v>634</v>
      </c>
      <c r="E394" s="32" t="s">
        <v>233</v>
      </c>
      <c r="F394" s="40">
        <v>1</v>
      </c>
      <c r="G394" s="9">
        <v>115.7</v>
      </c>
      <c r="H394" s="10">
        <v>188</v>
      </c>
      <c r="I394" s="10">
        <f t="shared" si="18"/>
        <v>188</v>
      </c>
      <c r="J394" s="11"/>
      <c r="K394" s="11">
        <v>0</v>
      </c>
      <c r="L394" s="74">
        <f t="shared" si="19"/>
        <v>188</v>
      </c>
      <c r="M394" s="34">
        <f t="shared" si="17"/>
        <v>115.7</v>
      </c>
    </row>
    <row r="395" spans="1:13" ht="15" customHeight="1" x14ac:dyDescent="0.2">
      <c r="A395" s="30" t="s">
        <v>628</v>
      </c>
      <c r="B395" s="31" t="s">
        <v>47</v>
      </c>
      <c r="C395" s="8"/>
      <c r="D395" s="32" t="s">
        <v>635</v>
      </c>
      <c r="E395" s="32" t="s">
        <v>226</v>
      </c>
      <c r="F395" s="40">
        <v>1</v>
      </c>
      <c r="G395" s="9">
        <v>115.7</v>
      </c>
      <c r="H395" s="10">
        <v>188</v>
      </c>
      <c r="I395" s="10">
        <f t="shared" si="18"/>
        <v>188</v>
      </c>
      <c r="J395" s="11"/>
      <c r="K395" s="11">
        <v>0</v>
      </c>
      <c r="L395" s="74">
        <f t="shared" si="19"/>
        <v>188</v>
      </c>
      <c r="M395" s="34">
        <f t="shared" si="17"/>
        <v>115.7</v>
      </c>
    </row>
    <row r="396" spans="1:13" ht="15" customHeight="1" x14ac:dyDescent="0.2">
      <c r="A396" s="30" t="s">
        <v>628</v>
      </c>
      <c r="B396" s="31" t="s">
        <v>52</v>
      </c>
      <c r="C396" s="8"/>
      <c r="D396" s="32"/>
      <c r="E396" s="32" t="s">
        <v>231</v>
      </c>
      <c r="F396" s="40">
        <v>1</v>
      </c>
      <c r="G396" s="9">
        <v>158</v>
      </c>
      <c r="H396" s="10">
        <v>228</v>
      </c>
      <c r="I396" s="10">
        <f t="shared" si="18"/>
        <v>228</v>
      </c>
      <c r="J396" s="11"/>
      <c r="K396" s="11">
        <v>0</v>
      </c>
      <c r="L396" s="74">
        <f t="shared" si="19"/>
        <v>228</v>
      </c>
      <c r="M396" s="34">
        <f t="shared" si="17"/>
        <v>158</v>
      </c>
    </row>
    <row r="397" spans="1:13" ht="15" customHeight="1" x14ac:dyDescent="0.2">
      <c r="A397" s="30" t="s">
        <v>628</v>
      </c>
      <c r="B397" s="31" t="s">
        <v>54</v>
      </c>
      <c r="C397" s="8"/>
      <c r="D397" s="32" t="s">
        <v>636</v>
      </c>
      <c r="E397" s="32" t="s">
        <v>233</v>
      </c>
      <c r="F397" s="40">
        <v>1</v>
      </c>
      <c r="G397" s="9">
        <v>115.7</v>
      </c>
      <c r="H397" s="10">
        <v>188</v>
      </c>
      <c r="I397" s="10">
        <f t="shared" si="18"/>
        <v>188</v>
      </c>
      <c r="J397" s="11"/>
      <c r="K397" s="11">
        <v>0</v>
      </c>
      <c r="L397" s="74">
        <f t="shared" si="19"/>
        <v>188</v>
      </c>
      <c r="M397" s="34">
        <f t="shared" si="17"/>
        <v>115.7</v>
      </c>
    </row>
    <row r="398" spans="1:13" ht="15" customHeight="1" x14ac:dyDescent="0.2">
      <c r="A398" s="30" t="s">
        <v>628</v>
      </c>
      <c r="B398" s="31" t="s">
        <v>77</v>
      </c>
      <c r="C398" s="8"/>
      <c r="D398" s="32"/>
      <c r="E398" s="32" t="s">
        <v>256</v>
      </c>
      <c r="F398" s="40">
        <v>3</v>
      </c>
      <c r="G398" s="9">
        <v>102.7</v>
      </c>
      <c r="H398" s="10">
        <v>248</v>
      </c>
      <c r="I398" s="10">
        <f t="shared" si="18"/>
        <v>744</v>
      </c>
      <c r="J398" s="11"/>
      <c r="K398" s="11">
        <v>0</v>
      </c>
      <c r="L398" s="74">
        <f t="shared" si="19"/>
        <v>744</v>
      </c>
      <c r="M398" s="34">
        <f t="shared" si="17"/>
        <v>308.10000000000002</v>
      </c>
    </row>
    <row r="399" spans="1:13" ht="15" customHeight="1" x14ac:dyDescent="0.2">
      <c r="A399" s="30" t="s">
        <v>628</v>
      </c>
      <c r="B399" s="31" t="s">
        <v>54</v>
      </c>
      <c r="C399" s="8"/>
      <c r="D399" s="32" t="s">
        <v>637</v>
      </c>
      <c r="E399" s="32" t="s">
        <v>233</v>
      </c>
      <c r="F399" s="40">
        <v>7</v>
      </c>
      <c r="G399" s="9">
        <v>115.7</v>
      </c>
      <c r="H399" s="10">
        <v>188</v>
      </c>
      <c r="I399" s="10">
        <f t="shared" si="18"/>
        <v>1316</v>
      </c>
      <c r="J399" s="11"/>
      <c r="K399" s="11">
        <v>0</v>
      </c>
      <c r="L399" s="74">
        <f t="shared" si="19"/>
        <v>1316</v>
      </c>
      <c r="M399" s="34">
        <f t="shared" si="17"/>
        <v>809.9</v>
      </c>
    </row>
    <row r="400" spans="1:13" ht="15" customHeight="1" x14ac:dyDescent="0.2">
      <c r="A400" s="30" t="s">
        <v>628</v>
      </c>
      <c r="B400" s="31" t="s">
        <v>81</v>
      </c>
      <c r="C400" s="8"/>
      <c r="D400" s="32"/>
      <c r="E400" s="32" t="s">
        <v>260</v>
      </c>
      <c r="F400" s="40">
        <v>7</v>
      </c>
      <c r="G400" s="9">
        <v>115.7</v>
      </c>
      <c r="H400" s="10">
        <v>298</v>
      </c>
      <c r="I400" s="10">
        <f t="shared" si="18"/>
        <v>2086</v>
      </c>
      <c r="J400" s="11"/>
      <c r="K400" s="11">
        <v>0</v>
      </c>
      <c r="L400" s="74">
        <f t="shared" si="19"/>
        <v>2086</v>
      </c>
      <c r="M400" s="34">
        <f t="shared" si="17"/>
        <v>809.9</v>
      </c>
    </row>
    <row r="401" spans="1:13" ht="15" customHeight="1" x14ac:dyDescent="0.2">
      <c r="A401" s="30" t="s">
        <v>628</v>
      </c>
      <c r="B401" s="31" t="s">
        <v>93</v>
      </c>
      <c r="C401" s="8"/>
      <c r="D401" s="32"/>
      <c r="E401" s="32" t="s">
        <v>272</v>
      </c>
      <c r="F401" s="40">
        <v>1</v>
      </c>
      <c r="G401" s="9">
        <v>421.2</v>
      </c>
      <c r="H401" s="10">
        <v>648</v>
      </c>
      <c r="I401" s="10">
        <f t="shared" si="18"/>
        <v>648</v>
      </c>
      <c r="J401" s="11"/>
      <c r="K401" s="11">
        <v>0</v>
      </c>
      <c r="L401" s="74">
        <f t="shared" si="19"/>
        <v>648</v>
      </c>
      <c r="M401" s="34">
        <f t="shared" si="17"/>
        <v>421.2</v>
      </c>
    </row>
    <row r="402" spans="1:13" ht="15" customHeight="1" x14ac:dyDescent="0.2">
      <c r="A402" s="30" t="s">
        <v>628</v>
      </c>
      <c r="B402" s="31" t="s">
        <v>90</v>
      </c>
      <c r="C402" s="8"/>
      <c r="D402" s="32"/>
      <c r="E402" s="32" t="s">
        <v>269</v>
      </c>
      <c r="F402" s="40">
        <v>1</v>
      </c>
      <c r="G402" s="9">
        <v>421.2</v>
      </c>
      <c r="H402" s="10">
        <v>648</v>
      </c>
      <c r="I402" s="10">
        <f t="shared" si="18"/>
        <v>648</v>
      </c>
      <c r="J402" s="11"/>
      <c r="K402" s="11">
        <v>0</v>
      </c>
      <c r="L402" s="74">
        <f t="shared" si="19"/>
        <v>648</v>
      </c>
      <c r="M402" s="34">
        <f t="shared" si="17"/>
        <v>421.2</v>
      </c>
    </row>
    <row r="403" spans="1:13" ht="15" customHeight="1" x14ac:dyDescent="0.2">
      <c r="A403" s="30" t="s">
        <v>628</v>
      </c>
      <c r="B403" s="31" t="s">
        <v>127</v>
      </c>
      <c r="C403" s="8"/>
      <c r="D403" s="32"/>
      <c r="E403" s="32" t="s">
        <v>306</v>
      </c>
      <c r="F403" s="40">
        <v>2</v>
      </c>
      <c r="G403" s="9">
        <v>40</v>
      </c>
      <c r="H403" s="10">
        <v>60</v>
      </c>
      <c r="I403" s="10">
        <f t="shared" si="18"/>
        <v>120</v>
      </c>
      <c r="J403" s="11"/>
      <c r="K403" s="11">
        <v>20</v>
      </c>
      <c r="L403" s="74">
        <f t="shared" si="19"/>
        <v>100</v>
      </c>
      <c r="M403" s="34">
        <f t="shared" si="17"/>
        <v>80</v>
      </c>
    </row>
    <row r="404" spans="1:13" ht="15" customHeight="1" x14ac:dyDescent="0.2">
      <c r="A404" s="30" t="s">
        <v>628</v>
      </c>
      <c r="B404" s="31" t="s">
        <v>85</v>
      </c>
      <c r="C404" s="8"/>
      <c r="D404" s="32"/>
      <c r="E404" s="32" t="s">
        <v>264</v>
      </c>
      <c r="F404" s="40">
        <v>1</v>
      </c>
      <c r="G404" s="9">
        <v>83.2</v>
      </c>
      <c r="H404" s="10">
        <v>138</v>
      </c>
      <c r="I404" s="10">
        <f t="shared" si="18"/>
        <v>138</v>
      </c>
      <c r="J404" s="11"/>
      <c r="K404" s="11">
        <v>0</v>
      </c>
      <c r="L404" s="74">
        <f t="shared" si="19"/>
        <v>138</v>
      </c>
      <c r="M404" s="34">
        <f t="shared" si="17"/>
        <v>83.2</v>
      </c>
    </row>
    <row r="405" spans="1:13" ht="15" customHeight="1" x14ac:dyDescent="0.2">
      <c r="A405" s="30" t="s">
        <v>628</v>
      </c>
      <c r="B405" s="31" t="s">
        <v>65</v>
      </c>
      <c r="C405" s="8"/>
      <c r="D405" s="32"/>
      <c r="E405" s="32" t="s">
        <v>244</v>
      </c>
      <c r="F405" s="40">
        <v>1</v>
      </c>
      <c r="G405" s="9">
        <v>65</v>
      </c>
      <c r="H405" s="10">
        <v>128</v>
      </c>
      <c r="I405" s="10">
        <f t="shared" si="18"/>
        <v>128</v>
      </c>
      <c r="J405" s="11"/>
      <c r="K405" s="11">
        <v>0</v>
      </c>
      <c r="L405" s="74">
        <f t="shared" si="19"/>
        <v>128</v>
      </c>
      <c r="M405" s="34">
        <f t="shared" si="17"/>
        <v>65</v>
      </c>
    </row>
    <row r="406" spans="1:13" ht="15" customHeight="1" x14ac:dyDescent="0.2">
      <c r="A406" s="30" t="s">
        <v>628</v>
      </c>
      <c r="B406" s="31" t="s">
        <v>125</v>
      </c>
      <c r="C406" s="8"/>
      <c r="D406" s="32"/>
      <c r="E406" s="32" t="s">
        <v>304</v>
      </c>
      <c r="F406" s="40">
        <v>1</v>
      </c>
      <c r="G406" s="9">
        <v>24.7</v>
      </c>
      <c r="H406" s="10">
        <v>38</v>
      </c>
      <c r="I406" s="10">
        <f t="shared" si="18"/>
        <v>38</v>
      </c>
      <c r="J406" s="11"/>
      <c r="K406" s="11">
        <v>0</v>
      </c>
      <c r="L406" s="74">
        <f t="shared" si="19"/>
        <v>38</v>
      </c>
      <c r="M406" s="34">
        <f t="shared" si="17"/>
        <v>24.7</v>
      </c>
    </row>
    <row r="407" spans="1:13" ht="15" customHeight="1" x14ac:dyDescent="0.2">
      <c r="A407" s="30" t="s">
        <v>628</v>
      </c>
      <c r="B407" s="31" t="s">
        <v>55</v>
      </c>
      <c r="C407" s="8"/>
      <c r="D407" s="32" t="s">
        <v>638</v>
      </c>
      <c r="E407" s="32" t="s">
        <v>234</v>
      </c>
      <c r="F407" s="40">
        <v>2</v>
      </c>
      <c r="G407" s="9">
        <v>63.7</v>
      </c>
      <c r="H407" s="10">
        <v>228</v>
      </c>
      <c r="I407" s="10">
        <f t="shared" si="18"/>
        <v>456</v>
      </c>
      <c r="J407" s="11"/>
      <c r="K407" s="11">
        <v>0</v>
      </c>
      <c r="L407" s="74">
        <f t="shared" si="19"/>
        <v>456</v>
      </c>
      <c r="M407" s="34">
        <f t="shared" si="17"/>
        <v>127.4</v>
      </c>
    </row>
    <row r="408" spans="1:13" ht="15" customHeight="1" x14ac:dyDescent="0.2">
      <c r="A408" s="30" t="s">
        <v>628</v>
      </c>
      <c r="B408" s="31" t="s">
        <v>62</v>
      </c>
      <c r="C408" s="8"/>
      <c r="D408" s="32"/>
      <c r="E408" s="32" t="s">
        <v>241</v>
      </c>
      <c r="F408" s="40">
        <v>2</v>
      </c>
      <c r="G408" s="9">
        <v>188</v>
      </c>
      <c r="H408" s="10">
        <v>188</v>
      </c>
      <c r="I408" s="10">
        <f t="shared" si="18"/>
        <v>376</v>
      </c>
      <c r="J408" s="11"/>
      <c r="K408" s="11">
        <v>0</v>
      </c>
      <c r="L408" s="74">
        <f t="shared" si="19"/>
        <v>376</v>
      </c>
      <c r="M408" s="34">
        <f t="shared" si="17"/>
        <v>376</v>
      </c>
    </row>
    <row r="409" spans="1:13" ht="15" customHeight="1" x14ac:dyDescent="0.2">
      <c r="A409" s="30" t="s">
        <v>628</v>
      </c>
      <c r="B409" s="31" t="s">
        <v>485</v>
      </c>
      <c r="C409" s="8"/>
      <c r="D409" s="32"/>
      <c r="E409" s="32" t="s">
        <v>520</v>
      </c>
      <c r="F409" s="40">
        <v>2</v>
      </c>
      <c r="G409" s="9">
        <v>96.2</v>
      </c>
      <c r="H409" s="10">
        <v>228</v>
      </c>
      <c r="I409" s="10">
        <f t="shared" si="18"/>
        <v>456</v>
      </c>
      <c r="J409" s="11"/>
      <c r="K409" s="11">
        <v>0</v>
      </c>
      <c r="L409" s="74">
        <f t="shared" si="19"/>
        <v>456</v>
      </c>
      <c r="M409" s="34">
        <f t="shared" si="17"/>
        <v>192.4</v>
      </c>
    </row>
    <row r="410" spans="1:13" ht="15" customHeight="1" x14ac:dyDescent="0.2">
      <c r="A410" s="30" t="s">
        <v>628</v>
      </c>
      <c r="B410" s="31" t="s">
        <v>48</v>
      </c>
      <c r="C410" s="8"/>
      <c r="D410" s="32"/>
      <c r="E410" s="32" t="s">
        <v>227</v>
      </c>
      <c r="F410" s="40">
        <v>3</v>
      </c>
      <c r="G410" s="9">
        <v>13</v>
      </c>
      <c r="H410" s="10">
        <v>20</v>
      </c>
      <c r="I410" s="10">
        <f t="shared" si="18"/>
        <v>60</v>
      </c>
      <c r="J410" s="11"/>
      <c r="K410" s="11">
        <v>0</v>
      </c>
      <c r="L410" s="74">
        <f t="shared" si="19"/>
        <v>60</v>
      </c>
      <c r="M410" s="34">
        <f t="shared" si="17"/>
        <v>39</v>
      </c>
    </row>
    <row r="411" spans="1:13" ht="15" customHeight="1" x14ac:dyDescent="0.2">
      <c r="A411" s="30" t="s">
        <v>628</v>
      </c>
      <c r="B411" s="31" t="s">
        <v>61</v>
      </c>
      <c r="C411" s="8"/>
      <c r="D411" s="32" t="s">
        <v>639</v>
      </c>
      <c r="E411" s="32" t="s">
        <v>240</v>
      </c>
      <c r="F411" s="40">
        <v>1</v>
      </c>
      <c r="G411" s="9">
        <v>323.7</v>
      </c>
      <c r="H411" s="10">
        <v>698</v>
      </c>
      <c r="I411" s="10">
        <f t="shared" si="18"/>
        <v>698</v>
      </c>
      <c r="J411" s="11"/>
      <c r="K411" s="11">
        <v>0</v>
      </c>
      <c r="L411" s="74">
        <f t="shared" si="19"/>
        <v>698</v>
      </c>
      <c r="M411" s="34">
        <f t="shared" ref="M411:M474" si="20">F411*G411</f>
        <v>323.7</v>
      </c>
    </row>
    <row r="412" spans="1:13" ht="15" customHeight="1" x14ac:dyDescent="0.2">
      <c r="A412" s="30" t="s">
        <v>628</v>
      </c>
      <c r="B412" s="31" t="s">
        <v>60</v>
      </c>
      <c r="C412" s="8"/>
      <c r="D412" s="32"/>
      <c r="E412" s="32" t="s">
        <v>239</v>
      </c>
      <c r="F412" s="40">
        <v>1</v>
      </c>
      <c r="G412" s="9">
        <v>100</v>
      </c>
      <c r="H412" s="10">
        <v>188</v>
      </c>
      <c r="I412" s="10">
        <f t="shared" si="18"/>
        <v>188</v>
      </c>
      <c r="J412" s="11"/>
      <c r="K412" s="11">
        <v>0</v>
      </c>
      <c r="L412" s="74">
        <f t="shared" si="19"/>
        <v>188</v>
      </c>
      <c r="M412" s="34">
        <f t="shared" si="20"/>
        <v>100</v>
      </c>
    </row>
    <row r="413" spans="1:13" ht="15" customHeight="1" x14ac:dyDescent="0.2">
      <c r="A413" s="30" t="s">
        <v>628</v>
      </c>
      <c r="B413" s="31" t="s">
        <v>81</v>
      </c>
      <c r="C413" s="8"/>
      <c r="D413" s="32" t="s">
        <v>640</v>
      </c>
      <c r="E413" s="32" t="s">
        <v>260</v>
      </c>
      <c r="F413" s="40">
        <v>1</v>
      </c>
      <c r="G413" s="9">
        <v>115.7</v>
      </c>
      <c r="H413" s="10">
        <v>298</v>
      </c>
      <c r="I413" s="10">
        <f t="shared" si="18"/>
        <v>298</v>
      </c>
      <c r="J413" s="11"/>
      <c r="K413" s="11">
        <v>0</v>
      </c>
      <c r="L413" s="74">
        <f t="shared" si="19"/>
        <v>298</v>
      </c>
      <c r="M413" s="34">
        <f t="shared" si="20"/>
        <v>115.7</v>
      </c>
    </row>
    <row r="414" spans="1:13" ht="15" customHeight="1" x14ac:dyDescent="0.2">
      <c r="A414" s="30" t="s">
        <v>628</v>
      </c>
      <c r="B414" s="31" t="s">
        <v>82</v>
      </c>
      <c r="C414" s="8"/>
      <c r="D414" s="32" t="s">
        <v>641</v>
      </c>
      <c r="E414" s="32" t="s">
        <v>261</v>
      </c>
      <c r="F414" s="40">
        <v>1</v>
      </c>
      <c r="G414" s="9">
        <v>158</v>
      </c>
      <c r="H414" s="10">
        <v>258</v>
      </c>
      <c r="I414" s="10">
        <f t="shared" si="18"/>
        <v>258</v>
      </c>
      <c r="J414" s="11"/>
      <c r="K414" s="11">
        <v>0</v>
      </c>
      <c r="L414" s="74">
        <f t="shared" si="19"/>
        <v>258</v>
      </c>
      <c r="M414" s="34">
        <f t="shared" si="20"/>
        <v>158</v>
      </c>
    </row>
    <row r="415" spans="1:13" ht="15" customHeight="1" x14ac:dyDescent="0.2">
      <c r="A415" s="30" t="s">
        <v>628</v>
      </c>
      <c r="B415" s="31" t="s">
        <v>76</v>
      </c>
      <c r="C415" s="8"/>
      <c r="D415" s="32" t="s">
        <v>642</v>
      </c>
      <c r="E415" s="32" t="s">
        <v>255</v>
      </c>
      <c r="F415" s="40">
        <v>2</v>
      </c>
      <c r="G415" s="9">
        <v>50.7</v>
      </c>
      <c r="H415" s="10">
        <v>78</v>
      </c>
      <c r="I415" s="10">
        <f t="shared" si="18"/>
        <v>156</v>
      </c>
      <c r="J415" s="11"/>
      <c r="K415" s="11">
        <v>0</v>
      </c>
      <c r="L415" s="74">
        <f t="shared" si="19"/>
        <v>156</v>
      </c>
      <c r="M415" s="34">
        <f t="shared" si="20"/>
        <v>101.4</v>
      </c>
    </row>
    <row r="416" spans="1:13" ht="15" customHeight="1" x14ac:dyDescent="0.2">
      <c r="A416" s="30" t="s">
        <v>628</v>
      </c>
      <c r="B416" s="31" t="s">
        <v>485</v>
      </c>
      <c r="C416" s="8"/>
      <c r="D416" s="32"/>
      <c r="E416" s="32" t="s">
        <v>520</v>
      </c>
      <c r="F416" s="40">
        <v>3</v>
      </c>
      <c r="G416" s="9">
        <v>96.2</v>
      </c>
      <c r="H416" s="10">
        <v>228</v>
      </c>
      <c r="I416" s="10">
        <f t="shared" si="18"/>
        <v>684</v>
      </c>
      <c r="J416" s="11"/>
      <c r="K416" s="11">
        <v>0</v>
      </c>
      <c r="L416" s="74">
        <f t="shared" si="19"/>
        <v>684</v>
      </c>
      <c r="M416" s="34">
        <f t="shared" si="20"/>
        <v>288.60000000000002</v>
      </c>
    </row>
    <row r="417" spans="1:13" ht="15" customHeight="1" x14ac:dyDescent="0.2">
      <c r="A417" s="30" t="s">
        <v>628</v>
      </c>
      <c r="B417" s="31" t="s">
        <v>47</v>
      </c>
      <c r="C417" s="8"/>
      <c r="D417" s="32"/>
      <c r="E417" s="32" t="s">
        <v>226</v>
      </c>
      <c r="F417" s="40">
        <v>3</v>
      </c>
      <c r="G417" s="9">
        <v>115.7</v>
      </c>
      <c r="H417" s="10">
        <v>188</v>
      </c>
      <c r="I417" s="10">
        <f t="shared" si="18"/>
        <v>564</v>
      </c>
      <c r="J417" s="11"/>
      <c r="K417" s="11">
        <v>0</v>
      </c>
      <c r="L417" s="74">
        <f t="shared" si="19"/>
        <v>564</v>
      </c>
      <c r="M417" s="34">
        <f t="shared" si="20"/>
        <v>347.1</v>
      </c>
    </row>
    <row r="418" spans="1:13" ht="15" customHeight="1" x14ac:dyDescent="0.2">
      <c r="A418" s="30" t="s">
        <v>628</v>
      </c>
      <c r="B418" s="31" t="s">
        <v>56</v>
      </c>
      <c r="C418" s="8"/>
      <c r="D418" s="32"/>
      <c r="E418" s="32" t="s">
        <v>235</v>
      </c>
      <c r="F418" s="40">
        <v>1</v>
      </c>
      <c r="G418" s="9">
        <v>421.2</v>
      </c>
      <c r="H418" s="10">
        <v>648</v>
      </c>
      <c r="I418" s="10">
        <f t="shared" si="18"/>
        <v>648</v>
      </c>
      <c r="J418" s="11"/>
      <c r="K418" s="11">
        <v>0</v>
      </c>
      <c r="L418" s="74">
        <f t="shared" si="19"/>
        <v>648</v>
      </c>
      <c r="M418" s="34">
        <f t="shared" si="20"/>
        <v>421.2</v>
      </c>
    </row>
    <row r="419" spans="1:13" ht="15" customHeight="1" x14ac:dyDescent="0.2">
      <c r="A419" s="30" t="s">
        <v>628</v>
      </c>
      <c r="B419" s="31" t="s">
        <v>79</v>
      </c>
      <c r="C419" s="8"/>
      <c r="D419" s="32"/>
      <c r="E419" s="32" t="s">
        <v>258</v>
      </c>
      <c r="F419" s="40">
        <v>3</v>
      </c>
      <c r="G419" s="9">
        <v>122.2</v>
      </c>
      <c r="H419" s="10">
        <v>228</v>
      </c>
      <c r="I419" s="10">
        <f t="shared" si="18"/>
        <v>684</v>
      </c>
      <c r="J419" s="11"/>
      <c r="K419" s="11">
        <v>0</v>
      </c>
      <c r="L419" s="74">
        <f t="shared" si="19"/>
        <v>684</v>
      </c>
      <c r="M419" s="34">
        <f t="shared" si="20"/>
        <v>366.6</v>
      </c>
    </row>
    <row r="420" spans="1:13" ht="15" customHeight="1" x14ac:dyDescent="0.2">
      <c r="A420" s="30" t="s">
        <v>628</v>
      </c>
      <c r="B420" s="31" t="s">
        <v>125</v>
      </c>
      <c r="C420" s="8"/>
      <c r="D420" s="32"/>
      <c r="E420" s="32" t="s">
        <v>304</v>
      </c>
      <c r="F420" s="40">
        <v>11</v>
      </c>
      <c r="G420" s="9">
        <v>24.7</v>
      </c>
      <c r="H420" s="10">
        <v>38</v>
      </c>
      <c r="I420" s="10">
        <f t="shared" si="18"/>
        <v>418</v>
      </c>
      <c r="J420" s="11"/>
      <c r="K420" s="11">
        <v>0</v>
      </c>
      <c r="L420" s="74">
        <f t="shared" si="19"/>
        <v>418</v>
      </c>
      <c r="M420" s="34">
        <f t="shared" si="20"/>
        <v>271.7</v>
      </c>
    </row>
    <row r="421" spans="1:13" ht="15" customHeight="1" x14ac:dyDescent="0.2">
      <c r="A421" s="30" t="s">
        <v>628</v>
      </c>
      <c r="B421" s="31" t="s">
        <v>629</v>
      </c>
      <c r="C421" s="8"/>
      <c r="D421" s="32"/>
      <c r="E421" s="32" t="s">
        <v>644</v>
      </c>
      <c r="F421" s="40">
        <v>2</v>
      </c>
      <c r="G421" s="9">
        <v>180</v>
      </c>
      <c r="H421" s="10">
        <v>248</v>
      </c>
      <c r="I421" s="10">
        <f t="shared" si="18"/>
        <v>496</v>
      </c>
      <c r="J421" s="11"/>
      <c r="K421" s="11">
        <v>0</v>
      </c>
      <c r="L421" s="74">
        <f t="shared" si="19"/>
        <v>496</v>
      </c>
      <c r="M421" s="34">
        <f t="shared" si="20"/>
        <v>360</v>
      </c>
    </row>
    <row r="422" spans="1:13" ht="15" customHeight="1" x14ac:dyDescent="0.2">
      <c r="A422" s="30" t="s">
        <v>628</v>
      </c>
      <c r="B422" s="31" t="s">
        <v>630</v>
      </c>
      <c r="C422" s="8"/>
      <c r="D422" s="32"/>
      <c r="E422" s="32" t="s">
        <v>645</v>
      </c>
      <c r="F422" s="40">
        <v>1</v>
      </c>
      <c r="G422" s="9">
        <v>276</v>
      </c>
      <c r="H422" s="10">
        <v>370</v>
      </c>
      <c r="I422" s="10">
        <f t="shared" si="18"/>
        <v>370</v>
      </c>
      <c r="J422" s="11"/>
      <c r="K422" s="11">
        <v>0</v>
      </c>
      <c r="L422" s="74">
        <f t="shared" si="19"/>
        <v>370</v>
      </c>
      <c r="M422" s="34">
        <f t="shared" si="20"/>
        <v>276</v>
      </c>
    </row>
    <row r="423" spans="1:13" ht="15" customHeight="1" x14ac:dyDescent="0.2">
      <c r="A423" s="30" t="s">
        <v>628</v>
      </c>
      <c r="B423" s="31" t="s">
        <v>631</v>
      </c>
      <c r="C423" s="8"/>
      <c r="D423" s="32"/>
      <c r="E423" s="32" t="s">
        <v>646</v>
      </c>
      <c r="F423" s="40">
        <v>1</v>
      </c>
      <c r="G423" s="9">
        <v>314</v>
      </c>
      <c r="H423" s="10">
        <v>440</v>
      </c>
      <c r="I423" s="10">
        <f t="shared" si="18"/>
        <v>440</v>
      </c>
      <c r="J423" s="11"/>
      <c r="K423" s="11">
        <v>0</v>
      </c>
      <c r="L423" s="74">
        <f t="shared" si="19"/>
        <v>440</v>
      </c>
      <c r="M423" s="34">
        <f t="shared" si="20"/>
        <v>314</v>
      </c>
    </row>
    <row r="424" spans="1:13" ht="15" customHeight="1" x14ac:dyDescent="0.2">
      <c r="A424" s="30" t="s">
        <v>628</v>
      </c>
      <c r="B424" s="31" t="s">
        <v>69</v>
      </c>
      <c r="C424" s="8"/>
      <c r="D424" s="32" t="s">
        <v>643</v>
      </c>
      <c r="E424" s="32" t="s">
        <v>248</v>
      </c>
      <c r="F424" s="40">
        <v>7</v>
      </c>
      <c r="G424" s="9">
        <v>32.5</v>
      </c>
      <c r="H424" s="10">
        <v>60</v>
      </c>
      <c r="I424" s="10">
        <f t="shared" si="18"/>
        <v>420</v>
      </c>
      <c r="J424" s="11"/>
      <c r="K424" s="11">
        <v>0</v>
      </c>
      <c r="L424" s="74">
        <f t="shared" si="19"/>
        <v>420</v>
      </c>
      <c r="M424" s="34">
        <f t="shared" si="20"/>
        <v>227.5</v>
      </c>
    </row>
    <row r="425" spans="1:13" ht="15" customHeight="1" x14ac:dyDescent="0.2">
      <c r="A425" s="30" t="s">
        <v>628</v>
      </c>
      <c r="B425" s="31" t="s">
        <v>70</v>
      </c>
      <c r="C425" s="8"/>
      <c r="D425" s="32"/>
      <c r="E425" s="32" t="s">
        <v>249</v>
      </c>
      <c r="F425" s="40">
        <v>3</v>
      </c>
      <c r="G425" s="9">
        <v>40</v>
      </c>
      <c r="H425" s="10">
        <v>50</v>
      </c>
      <c r="I425" s="10">
        <f t="shared" si="18"/>
        <v>150</v>
      </c>
      <c r="J425" s="11"/>
      <c r="K425" s="11">
        <v>0</v>
      </c>
      <c r="L425" s="74">
        <f t="shared" si="19"/>
        <v>150</v>
      </c>
      <c r="M425" s="34">
        <f t="shared" si="20"/>
        <v>120</v>
      </c>
    </row>
    <row r="426" spans="1:13" ht="15" customHeight="1" x14ac:dyDescent="0.2">
      <c r="A426" s="30" t="s">
        <v>628</v>
      </c>
      <c r="B426" s="31" t="s">
        <v>48</v>
      </c>
      <c r="C426" s="8"/>
      <c r="D426" s="32"/>
      <c r="E426" s="32" t="s">
        <v>227</v>
      </c>
      <c r="F426" s="40">
        <v>8</v>
      </c>
      <c r="G426" s="9">
        <v>13</v>
      </c>
      <c r="H426" s="10">
        <v>20</v>
      </c>
      <c r="I426" s="10">
        <f t="shared" si="18"/>
        <v>160</v>
      </c>
      <c r="J426" s="11"/>
      <c r="K426" s="11">
        <v>0</v>
      </c>
      <c r="L426" s="74">
        <f t="shared" si="19"/>
        <v>160</v>
      </c>
      <c r="M426" s="34">
        <f t="shared" si="20"/>
        <v>104</v>
      </c>
    </row>
    <row r="427" spans="1:13" ht="15" customHeight="1" x14ac:dyDescent="0.2">
      <c r="A427" s="30" t="s">
        <v>671</v>
      </c>
      <c r="B427" s="31" t="s">
        <v>77</v>
      </c>
      <c r="C427" s="8"/>
      <c r="D427" s="32" t="s">
        <v>674</v>
      </c>
      <c r="E427" s="32" t="s">
        <v>256</v>
      </c>
      <c r="F427" s="40">
        <v>1</v>
      </c>
      <c r="G427" s="9">
        <v>102.7</v>
      </c>
      <c r="H427" s="10">
        <v>248</v>
      </c>
      <c r="I427" s="10">
        <f t="shared" si="18"/>
        <v>248</v>
      </c>
      <c r="J427" s="11"/>
      <c r="K427" s="11">
        <v>0</v>
      </c>
      <c r="L427" s="74">
        <f t="shared" si="19"/>
        <v>248</v>
      </c>
      <c r="M427" s="34">
        <f t="shared" si="20"/>
        <v>102.7</v>
      </c>
    </row>
    <row r="428" spans="1:13" ht="15" customHeight="1" x14ac:dyDescent="0.2">
      <c r="A428" s="30" t="s">
        <v>671</v>
      </c>
      <c r="B428" s="31" t="s">
        <v>47</v>
      </c>
      <c r="C428" s="8"/>
      <c r="D428" s="32"/>
      <c r="E428" s="32" t="s">
        <v>226</v>
      </c>
      <c r="F428" s="40">
        <v>1</v>
      </c>
      <c r="G428" s="9">
        <v>115.7</v>
      </c>
      <c r="H428" s="10">
        <v>188</v>
      </c>
      <c r="I428" s="10">
        <f t="shared" si="18"/>
        <v>188</v>
      </c>
      <c r="J428" s="11"/>
      <c r="K428" s="11">
        <v>0</v>
      </c>
      <c r="L428" s="74">
        <f t="shared" si="19"/>
        <v>188</v>
      </c>
      <c r="M428" s="34">
        <f t="shared" si="20"/>
        <v>115.7</v>
      </c>
    </row>
    <row r="429" spans="1:13" ht="15" customHeight="1" x14ac:dyDescent="0.2">
      <c r="A429" s="30" t="s">
        <v>671</v>
      </c>
      <c r="B429" s="31" t="s">
        <v>81</v>
      </c>
      <c r="C429" s="8"/>
      <c r="D429" s="32"/>
      <c r="E429" s="32" t="s">
        <v>260</v>
      </c>
      <c r="F429" s="40">
        <v>1</v>
      </c>
      <c r="G429" s="9">
        <v>115.7</v>
      </c>
      <c r="H429" s="10">
        <v>298</v>
      </c>
      <c r="I429" s="10">
        <f t="shared" si="18"/>
        <v>298</v>
      </c>
      <c r="J429" s="11"/>
      <c r="K429" s="11">
        <v>0</v>
      </c>
      <c r="L429" s="74">
        <f t="shared" si="19"/>
        <v>298</v>
      </c>
      <c r="M429" s="34">
        <f t="shared" si="20"/>
        <v>115.7</v>
      </c>
    </row>
    <row r="430" spans="1:13" ht="15" customHeight="1" x14ac:dyDescent="0.2">
      <c r="A430" s="30" t="s">
        <v>671</v>
      </c>
      <c r="B430" s="31" t="s">
        <v>672</v>
      </c>
      <c r="C430" s="8"/>
      <c r="D430" s="32"/>
      <c r="E430" s="32" t="s">
        <v>683</v>
      </c>
      <c r="F430" s="40">
        <v>1</v>
      </c>
      <c r="G430" s="9">
        <v>168</v>
      </c>
      <c r="H430" s="10">
        <v>248</v>
      </c>
      <c r="I430" s="10">
        <f t="shared" si="18"/>
        <v>248</v>
      </c>
      <c r="J430" s="11"/>
      <c r="K430" s="11">
        <v>0</v>
      </c>
      <c r="L430" s="74">
        <f t="shared" si="19"/>
        <v>248</v>
      </c>
      <c r="M430" s="34">
        <f t="shared" si="20"/>
        <v>168</v>
      </c>
    </row>
    <row r="431" spans="1:13" ht="15" customHeight="1" x14ac:dyDescent="0.2">
      <c r="A431" s="30" t="s">
        <v>671</v>
      </c>
      <c r="B431" s="31" t="s">
        <v>79</v>
      </c>
      <c r="C431" s="8"/>
      <c r="D431" s="32" t="s">
        <v>675</v>
      </c>
      <c r="E431" s="32" t="s">
        <v>258</v>
      </c>
      <c r="F431" s="40">
        <v>1</v>
      </c>
      <c r="G431" s="9">
        <v>122.2</v>
      </c>
      <c r="H431" s="10">
        <v>228</v>
      </c>
      <c r="I431" s="10">
        <f t="shared" si="18"/>
        <v>228</v>
      </c>
      <c r="J431" s="11"/>
      <c r="K431" s="11">
        <v>0</v>
      </c>
      <c r="L431" s="74">
        <f t="shared" si="19"/>
        <v>228</v>
      </c>
      <c r="M431" s="34">
        <f t="shared" si="20"/>
        <v>122.2</v>
      </c>
    </row>
    <row r="432" spans="1:13" ht="15" customHeight="1" x14ac:dyDescent="0.2">
      <c r="A432" s="30" t="s">
        <v>671</v>
      </c>
      <c r="B432" s="31" t="s">
        <v>54</v>
      </c>
      <c r="C432" s="8"/>
      <c r="D432" s="32" t="s">
        <v>676</v>
      </c>
      <c r="E432" s="32" t="s">
        <v>233</v>
      </c>
      <c r="F432" s="40">
        <v>5</v>
      </c>
      <c r="G432" s="9">
        <v>115.7</v>
      </c>
      <c r="H432" s="10">
        <v>188</v>
      </c>
      <c r="I432" s="10">
        <f t="shared" si="18"/>
        <v>940</v>
      </c>
      <c r="J432" s="11"/>
      <c r="K432" s="11">
        <v>0</v>
      </c>
      <c r="L432" s="74">
        <f t="shared" si="19"/>
        <v>940</v>
      </c>
      <c r="M432" s="34">
        <f t="shared" si="20"/>
        <v>578.5</v>
      </c>
    </row>
    <row r="433" spans="1:13" ht="15" customHeight="1" x14ac:dyDescent="0.2">
      <c r="A433" s="30" t="s">
        <v>671</v>
      </c>
      <c r="B433" s="31" t="s">
        <v>63</v>
      </c>
      <c r="C433" s="8"/>
      <c r="D433" s="32"/>
      <c r="E433" s="32" t="s">
        <v>242</v>
      </c>
      <c r="F433" s="40">
        <v>5</v>
      </c>
      <c r="G433" s="9">
        <v>5</v>
      </c>
      <c r="H433" s="10">
        <v>10</v>
      </c>
      <c r="I433" s="10">
        <f t="shared" si="18"/>
        <v>50</v>
      </c>
      <c r="J433" s="11"/>
      <c r="K433" s="11">
        <v>0</v>
      </c>
      <c r="L433" s="74">
        <f t="shared" si="19"/>
        <v>50</v>
      </c>
      <c r="M433" s="34">
        <f t="shared" si="20"/>
        <v>25</v>
      </c>
    </row>
    <row r="434" spans="1:13" ht="15" customHeight="1" x14ac:dyDescent="0.2">
      <c r="A434" s="30" t="s">
        <v>671</v>
      </c>
      <c r="B434" s="31" t="s">
        <v>65</v>
      </c>
      <c r="C434" s="8"/>
      <c r="D434" s="32" t="s">
        <v>677</v>
      </c>
      <c r="E434" s="32" t="s">
        <v>244</v>
      </c>
      <c r="F434" s="40">
        <v>1</v>
      </c>
      <c r="G434" s="9">
        <v>65</v>
      </c>
      <c r="H434" s="10">
        <v>128</v>
      </c>
      <c r="I434" s="10">
        <f t="shared" si="18"/>
        <v>128</v>
      </c>
      <c r="J434" s="11"/>
      <c r="K434" s="11">
        <v>0</v>
      </c>
      <c r="L434" s="74">
        <f t="shared" si="19"/>
        <v>128</v>
      </c>
      <c r="M434" s="34">
        <f t="shared" si="20"/>
        <v>65</v>
      </c>
    </row>
    <row r="435" spans="1:13" ht="15" customHeight="1" x14ac:dyDescent="0.2">
      <c r="A435" s="30" t="s">
        <v>671</v>
      </c>
      <c r="B435" s="31" t="s">
        <v>48</v>
      </c>
      <c r="C435" s="8"/>
      <c r="D435" s="32"/>
      <c r="E435" s="32" t="s">
        <v>227</v>
      </c>
      <c r="F435" s="40">
        <v>2</v>
      </c>
      <c r="G435" s="9">
        <v>13</v>
      </c>
      <c r="H435" s="10">
        <v>20</v>
      </c>
      <c r="I435" s="10">
        <f t="shared" si="18"/>
        <v>40</v>
      </c>
      <c r="J435" s="11"/>
      <c r="K435" s="11">
        <v>0</v>
      </c>
      <c r="L435" s="74">
        <f t="shared" si="19"/>
        <v>40</v>
      </c>
      <c r="M435" s="34">
        <f t="shared" si="20"/>
        <v>26</v>
      </c>
    </row>
    <row r="436" spans="1:13" ht="15" customHeight="1" x14ac:dyDescent="0.2">
      <c r="A436" s="30" t="s">
        <v>671</v>
      </c>
      <c r="B436" s="31" t="s">
        <v>83</v>
      </c>
      <c r="C436" s="8"/>
      <c r="D436" s="32" t="s">
        <v>678</v>
      </c>
      <c r="E436" s="32" t="s">
        <v>262</v>
      </c>
      <c r="F436" s="40">
        <v>1</v>
      </c>
      <c r="G436" s="9">
        <v>96.2</v>
      </c>
      <c r="H436" s="10">
        <v>248</v>
      </c>
      <c r="I436" s="10">
        <f t="shared" si="18"/>
        <v>248</v>
      </c>
      <c r="J436" s="11"/>
      <c r="K436" s="11">
        <v>0</v>
      </c>
      <c r="L436" s="74">
        <f t="shared" si="19"/>
        <v>248</v>
      </c>
      <c r="M436" s="34">
        <f t="shared" si="20"/>
        <v>96.2</v>
      </c>
    </row>
    <row r="437" spans="1:13" ht="15" customHeight="1" x14ac:dyDescent="0.2">
      <c r="A437" s="30" t="s">
        <v>671</v>
      </c>
      <c r="B437" s="31" t="s">
        <v>54</v>
      </c>
      <c r="C437" s="8"/>
      <c r="D437" s="32"/>
      <c r="E437" s="32" t="s">
        <v>233</v>
      </c>
      <c r="F437" s="40">
        <v>1</v>
      </c>
      <c r="G437" s="9">
        <v>115.7</v>
      </c>
      <c r="H437" s="10">
        <v>188</v>
      </c>
      <c r="I437" s="10">
        <f t="shared" si="18"/>
        <v>188</v>
      </c>
      <c r="J437" s="11"/>
      <c r="K437" s="11">
        <v>0</v>
      </c>
      <c r="L437" s="74">
        <f t="shared" si="19"/>
        <v>188</v>
      </c>
      <c r="M437" s="34">
        <f t="shared" si="20"/>
        <v>115.7</v>
      </c>
    </row>
    <row r="438" spans="1:13" ht="15" customHeight="1" x14ac:dyDescent="0.2">
      <c r="A438" s="30" t="s">
        <v>671</v>
      </c>
      <c r="B438" s="31" t="s">
        <v>54</v>
      </c>
      <c r="C438" s="8"/>
      <c r="D438" s="32" t="s">
        <v>679</v>
      </c>
      <c r="E438" s="32" t="s">
        <v>233</v>
      </c>
      <c r="F438" s="40">
        <v>1</v>
      </c>
      <c r="G438" s="9">
        <v>115.7</v>
      </c>
      <c r="H438" s="10">
        <v>188</v>
      </c>
      <c r="I438" s="10">
        <f t="shared" si="18"/>
        <v>188</v>
      </c>
      <c r="J438" s="11"/>
      <c r="K438" s="11">
        <v>0</v>
      </c>
      <c r="L438" s="74">
        <f t="shared" si="19"/>
        <v>188</v>
      </c>
      <c r="M438" s="34">
        <f t="shared" si="20"/>
        <v>115.7</v>
      </c>
    </row>
    <row r="439" spans="1:13" ht="15" customHeight="1" x14ac:dyDescent="0.2">
      <c r="A439" s="30" t="s">
        <v>671</v>
      </c>
      <c r="B439" s="31" t="s">
        <v>77</v>
      </c>
      <c r="C439" s="8"/>
      <c r="D439" s="32"/>
      <c r="E439" s="32" t="s">
        <v>256</v>
      </c>
      <c r="F439" s="40">
        <v>1</v>
      </c>
      <c r="G439" s="9">
        <v>102.7</v>
      </c>
      <c r="H439" s="10">
        <v>248</v>
      </c>
      <c r="I439" s="10">
        <f t="shared" si="18"/>
        <v>248</v>
      </c>
      <c r="J439" s="11"/>
      <c r="K439" s="11">
        <v>0</v>
      </c>
      <c r="L439" s="74">
        <f t="shared" si="19"/>
        <v>248</v>
      </c>
      <c r="M439" s="34">
        <f t="shared" si="20"/>
        <v>102.7</v>
      </c>
    </row>
    <row r="440" spans="1:13" ht="15" customHeight="1" x14ac:dyDescent="0.2">
      <c r="A440" s="30" t="s">
        <v>671</v>
      </c>
      <c r="B440" s="31" t="s">
        <v>673</v>
      </c>
      <c r="C440" s="8"/>
      <c r="D440" s="32"/>
      <c r="E440" s="32" t="s">
        <v>684</v>
      </c>
      <c r="F440" s="40">
        <v>1</v>
      </c>
      <c r="G440" s="9">
        <v>63.7</v>
      </c>
      <c r="H440" s="10">
        <v>98</v>
      </c>
      <c r="I440" s="10">
        <f t="shared" si="18"/>
        <v>98</v>
      </c>
      <c r="J440" s="11"/>
      <c r="K440" s="11">
        <v>0</v>
      </c>
      <c r="L440" s="74">
        <f t="shared" si="19"/>
        <v>98</v>
      </c>
      <c r="M440" s="34">
        <f t="shared" si="20"/>
        <v>63.7</v>
      </c>
    </row>
    <row r="441" spans="1:13" ht="15" customHeight="1" x14ac:dyDescent="0.2">
      <c r="A441" s="30" t="s">
        <v>671</v>
      </c>
      <c r="B441" s="31" t="s">
        <v>63</v>
      </c>
      <c r="C441" s="8"/>
      <c r="D441" s="32"/>
      <c r="E441" s="32" t="s">
        <v>242</v>
      </c>
      <c r="F441" s="40">
        <v>3</v>
      </c>
      <c r="G441" s="9">
        <v>5</v>
      </c>
      <c r="H441" s="10">
        <v>10</v>
      </c>
      <c r="I441" s="10">
        <f t="shared" si="18"/>
        <v>30</v>
      </c>
      <c r="J441" s="11"/>
      <c r="K441" s="11">
        <v>0</v>
      </c>
      <c r="L441" s="74">
        <f t="shared" si="19"/>
        <v>30</v>
      </c>
      <c r="M441" s="34">
        <f t="shared" si="20"/>
        <v>15</v>
      </c>
    </row>
    <row r="442" spans="1:13" ht="15" customHeight="1" x14ac:dyDescent="0.2">
      <c r="A442" s="30" t="s">
        <v>671</v>
      </c>
      <c r="B442" s="31" t="s">
        <v>58</v>
      </c>
      <c r="C442" s="8"/>
      <c r="D442" s="32" t="s">
        <v>680</v>
      </c>
      <c r="E442" s="32" t="s">
        <v>237</v>
      </c>
      <c r="F442" s="40">
        <v>1</v>
      </c>
      <c r="G442" s="9">
        <v>421.2</v>
      </c>
      <c r="H442" s="10">
        <v>648</v>
      </c>
      <c r="I442" s="10">
        <f t="shared" si="18"/>
        <v>648</v>
      </c>
      <c r="J442" s="11"/>
      <c r="K442" s="11">
        <v>0</v>
      </c>
      <c r="L442" s="74">
        <f t="shared" si="19"/>
        <v>648</v>
      </c>
      <c r="M442" s="34">
        <f t="shared" si="20"/>
        <v>421.2</v>
      </c>
    </row>
    <row r="443" spans="1:13" ht="15" customHeight="1" x14ac:dyDescent="0.2">
      <c r="A443" s="30" t="s">
        <v>671</v>
      </c>
      <c r="B443" s="31" t="s">
        <v>92</v>
      </c>
      <c r="C443" s="8"/>
      <c r="D443" s="32" t="s">
        <v>681</v>
      </c>
      <c r="E443" s="32" t="s">
        <v>271</v>
      </c>
      <c r="F443" s="40">
        <v>2</v>
      </c>
      <c r="G443" s="9">
        <v>388.7</v>
      </c>
      <c r="H443" s="10">
        <v>598</v>
      </c>
      <c r="I443" s="10">
        <f t="shared" si="18"/>
        <v>1196</v>
      </c>
      <c r="J443" s="11"/>
      <c r="K443" s="11">
        <v>0</v>
      </c>
      <c r="L443" s="74">
        <f t="shared" si="19"/>
        <v>1196</v>
      </c>
      <c r="M443" s="34">
        <f t="shared" si="20"/>
        <v>777.4</v>
      </c>
    </row>
    <row r="444" spans="1:13" ht="15" customHeight="1" x14ac:dyDescent="0.2">
      <c r="A444" s="30" t="s">
        <v>671</v>
      </c>
      <c r="B444" s="31" t="s">
        <v>71</v>
      </c>
      <c r="C444" s="8"/>
      <c r="D444" s="32" t="s">
        <v>682</v>
      </c>
      <c r="E444" s="32" t="s">
        <v>250</v>
      </c>
      <c r="F444" s="40">
        <v>1</v>
      </c>
      <c r="G444" s="9">
        <v>258.7</v>
      </c>
      <c r="H444" s="10">
        <v>398</v>
      </c>
      <c r="I444" s="10">
        <f t="shared" si="18"/>
        <v>398</v>
      </c>
      <c r="J444" s="11"/>
      <c r="K444" s="11">
        <v>0</v>
      </c>
      <c r="L444" s="74">
        <f t="shared" si="19"/>
        <v>398</v>
      </c>
      <c r="M444" s="34">
        <f t="shared" si="20"/>
        <v>258.7</v>
      </c>
    </row>
    <row r="445" spans="1:13" ht="15" customHeight="1" x14ac:dyDescent="0.2">
      <c r="A445" s="30" t="s">
        <v>671</v>
      </c>
      <c r="B445" s="31" t="s">
        <v>484</v>
      </c>
      <c r="C445" s="8"/>
      <c r="D445" s="32"/>
      <c r="E445" s="32" t="s">
        <v>519</v>
      </c>
      <c r="F445" s="40">
        <v>10</v>
      </c>
      <c r="G445" s="9">
        <v>9.17</v>
      </c>
      <c r="H445" s="10">
        <v>18</v>
      </c>
      <c r="I445" s="10">
        <f t="shared" si="18"/>
        <v>180</v>
      </c>
      <c r="J445" s="11"/>
      <c r="K445" s="11">
        <v>0</v>
      </c>
      <c r="L445" s="74">
        <f t="shared" si="19"/>
        <v>180</v>
      </c>
      <c r="M445" s="34">
        <f t="shared" si="20"/>
        <v>91.7</v>
      </c>
    </row>
    <row r="446" spans="1:13" ht="15" customHeight="1" x14ac:dyDescent="0.2">
      <c r="A446" s="30" t="s">
        <v>711</v>
      </c>
      <c r="B446" s="31" t="s">
        <v>93</v>
      </c>
      <c r="C446" s="8"/>
      <c r="D446" s="32" t="s">
        <v>713</v>
      </c>
      <c r="E446" s="32" t="s">
        <v>272</v>
      </c>
      <c r="F446" s="40">
        <v>1</v>
      </c>
      <c r="G446" s="9">
        <v>421.2</v>
      </c>
      <c r="H446" s="10">
        <v>648</v>
      </c>
      <c r="I446" s="10">
        <f t="shared" si="18"/>
        <v>648</v>
      </c>
      <c r="J446" s="11"/>
      <c r="K446" s="11">
        <v>0</v>
      </c>
      <c r="L446" s="74">
        <f t="shared" si="19"/>
        <v>648</v>
      </c>
      <c r="M446" s="34">
        <f t="shared" si="20"/>
        <v>421.2</v>
      </c>
    </row>
    <row r="447" spans="1:13" ht="15" customHeight="1" x14ac:dyDescent="0.2">
      <c r="A447" s="30" t="s">
        <v>711</v>
      </c>
      <c r="B447" s="31" t="s">
        <v>71</v>
      </c>
      <c r="C447" s="8"/>
      <c r="D447" s="32" t="s">
        <v>714</v>
      </c>
      <c r="E447" s="32" t="s">
        <v>250</v>
      </c>
      <c r="F447" s="40">
        <v>1</v>
      </c>
      <c r="G447" s="9">
        <v>258.7</v>
      </c>
      <c r="H447" s="10">
        <v>398</v>
      </c>
      <c r="I447" s="10">
        <f t="shared" si="18"/>
        <v>398</v>
      </c>
      <c r="J447" s="11"/>
      <c r="K447" s="11">
        <v>0</v>
      </c>
      <c r="L447" s="74">
        <f t="shared" si="19"/>
        <v>398</v>
      </c>
      <c r="M447" s="34">
        <f t="shared" si="20"/>
        <v>258.7</v>
      </c>
    </row>
    <row r="448" spans="1:13" ht="15" customHeight="1" x14ac:dyDescent="0.2">
      <c r="A448" s="30" t="s">
        <v>711</v>
      </c>
      <c r="B448" s="31" t="s">
        <v>92</v>
      </c>
      <c r="C448" s="8"/>
      <c r="D448" s="32" t="s">
        <v>715</v>
      </c>
      <c r="E448" s="32" t="s">
        <v>271</v>
      </c>
      <c r="F448" s="40">
        <v>1</v>
      </c>
      <c r="G448" s="9">
        <v>388.7</v>
      </c>
      <c r="H448" s="10">
        <v>598</v>
      </c>
      <c r="I448" s="10">
        <f t="shared" si="18"/>
        <v>598</v>
      </c>
      <c r="J448" s="11"/>
      <c r="K448" s="11">
        <v>0</v>
      </c>
      <c r="L448" s="74">
        <f t="shared" si="19"/>
        <v>598</v>
      </c>
      <c r="M448" s="34">
        <f t="shared" si="20"/>
        <v>388.7</v>
      </c>
    </row>
    <row r="449" spans="1:13" ht="15" customHeight="1" x14ac:dyDescent="0.2">
      <c r="A449" s="30" t="s">
        <v>711</v>
      </c>
      <c r="B449" s="31" t="s">
        <v>54</v>
      </c>
      <c r="C449" s="8"/>
      <c r="D449" s="32" t="s">
        <v>716</v>
      </c>
      <c r="E449" s="32" t="s">
        <v>233</v>
      </c>
      <c r="F449" s="40">
        <v>1</v>
      </c>
      <c r="G449" s="9">
        <v>115.7</v>
      </c>
      <c r="H449" s="10">
        <v>188</v>
      </c>
      <c r="I449" s="10">
        <f t="shared" si="18"/>
        <v>188</v>
      </c>
      <c r="J449" s="11"/>
      <c r="K449" s="11">
        <v>0</v>
      </c>
      <c r="L449" s="74">
        <f t="shared" si="19"/>
        <v>188</v>
      </c>
      <c r="M449" s="34">
        <f t="shared" si="20"/>
        <v>115.7</v>
      </c>
    </row>
    <row r="450" spans="1:13" ht="15" customHeight="1" x14ac:dyDescent="0.2">
      <c r="A450" s="30" t="s">
        <v>711</v>
      </c>
      <c r="B450" s="31" t="s">
        <v>83</v>
      </c>
      <c r="C450" s="8"/>
      <c r="D450" s="32"/>
      <c r="E450" s="32" t="s">
        <v>262</v>
      </c>
      <c r="F450" s="40">
        <v>1</v>
      </c>
      <c r="G450" s="9">
        <v>96.2</v>
      </c>
      <c r="H450" s="10">
        <v>248</v>
      </c>
      <c r="I450" s="10">
        <f t="shared" si="18"/>
        <v>248</v>
      </c>
      <c r="J450" s="11"/>
      <c r="K450" s="11">
        <v>0</v>
      </c>
      <c r="L450" s="74">
        <f t="shared" si="19"/>
        <v>248</v>
      </c>
      <c r="M450" s="34">
        <f t="shared" si="20"/>
        <v>96.2</v>
      </c>
    </row>
    <row r="451" spans="1:13" ht="15" customHeight="1" x14ac:dyDescent="0.2">
      <c r="A451" s="30" t="s">
        <v>712</v>
      </c>
      <c r="B451" s="31" t="s">
        <v>49</v>
      </c>
      <c r="C451" s="8"/>
      <c r="D451" s="32" t="s">
        <v>717</v>
      </c>
      <c r="E451" s="32" t="s">
        <v>228</v>
      </c>
      <c r="F451" s="40">
        <v>1</v>
      </c>
      <c r="G451" s="9">
        <v>58</v>
      </c>
      <c r="H451" s="10">
        <v>88</v>
      </c>
      <c r="I451" s="10">
        <f t="shared" si="18"/>
        <v>88</v>
      </c>
      <c r="J451" s="11"/>
      <c r="K451" s="11">
        <v>0</v>
      </c>
      <c r="L451" s="74">
        <f t="shared" si="19"/>
        <v>88</v>
      </c>
      <c r="M451" s="34">
        <f t="shared" si="20"/>
        <v>58</v>
      </c>
    </row>
    <row r="452" spans="1:13" ht="15" customHeight="1" x14ac:dyDescent="0.2">
      <c r="A452" s="30" t="s">
        <v>712</v>
      </c>
      <c r="B452" s="31" t="s">
        <v>57</v>
      </c>
      <c r="C452" s="8"/>
      <c r="D452" s="32" t="s">
        <v>718</v>
      </c>
      <c r="E452" s="32" t="s">
        <v>236</v>
      </c>
      <c r="F452" s="40">
        <v>1</v>
      </c>
      <c r="G452" s="9">
        <v>187.2</v>
      </c>
      <c r="H452" s="10">
        <v>288</v>
      </c>
      <c r="I452" s="10">
        <f t="shared" si="18"/>
        <v>288</v>
      </c>
      <c r="J452" s="11"/>
      <c r="K452" s="11">
        <v>0</v>
      </c>
      <c r="L452" s="74">
        <f t="shared" si="19"/>
        <v>288</v>
      </c>
      <c r="M452" s="34">
        <f t="shared" si="20"/>
        <v>187.2</v>
      </c>
    </row>
    <row r="453" spans="1:13" ht="15" customHeight="1" x14ac:dyDescent="0.2">
      <c r="A453" s="30" t="s">
        <v>712</v>
      </c>
      <c r="B453" s="31" t="s">
        <v>97</v>
      </c>
      <c r="C453" s="8"/>
      <c r="D453" s="32" t="s">
        <v>719</v>
      </c>
      <c r="E453" s="32" t="s">
        <v>276</v>
      </c>
      <c r="F453" s="40">
        <v>1</v>
      </c>
      <c r="G453" s="9">
        <v>172</v>
      </c>
      <c r="H453" s="10">
        <v>228</v>
      </c>
      <c r="I453" s="10">
        <f t="shared" si="18"/>
        <v>228</v>
      </c>
      <c r="J453" s="11"/>
      <c r="K453" s="11">
        <v>0</v>
      </c>
      <c r="L453" s="74">
        <f t="shared" si="19"/>
        <v>228</v>
      </c>
      <c r="M453" s="34">
        <f t="shared" si="20"/>
        <v>172</v>
      </c>
    </row>
    <row r="454" spans="1:13" ht="15" customHeight="1" x14ac:dyDescent="0.2">
      <c r="A454" s="30" t="s">
        <v>712</v>
      </c>
      <c r="B454" s="31" t="s">
        <v>79</v>
      </c>
      <c r="C454" s="8"/>
      <c r="D454" s="32"/>
      <c r="E454" s="32" t="s">
        <v>258</v>
      </c>
      <c r="F454" s="40">
        <v>1</v>
      </c>
      <c r="G454" s="9">
        <v>122.2</v>
      </c>
      <c r="H454" s="10">
        <v>228</v>
      </c>
      <c r="I454" s="10">
        <f t="shared" si="18"/>
        <v>228</v>
      </c>
      <c r="J454" s="11"/>
      <c r="K454" s="11">
        <v>0</v>
      </c>
      <c r="L454" s="74">
        <f t="shared" si="19"/>
        <v>228</v>
      </c>
      <c r="M454" s="34">
        <f t="shared" si="20"/>
        <v>122.2</v>
      </c>
    </row>
    <row r="455" spans="1:13" ht="15" customHeight="1" x14ac:dyDescent="0.2">
      <c r="A455" s="30" t="s">
        <v>712</v>
      </c>
      <c r="B455" s="31" t="s">
        <v>65</v>
      </c>
      <c r="C455" s="8"/>
      <c r="D455" s="32" t="s">
        <v>720</v>
      </c>
      <c r="E455" s="32" t="s">
        <v>244</v>
      </c>
      <c r="F455" s="40">
        <v>1</v>
      </c>
      <c r="G455" s="9">
        <v>65</v>
      </c>
      <c r="H455" s="10">
        <v>128</v>
      </c>
      <c r="I455" s="10">
        <f t="shared" ref="I455:I468" si="21">F455*H455</f>
        <v>128</v>
      </c>
      <c r="J455" s="11"/>
      <c r="K455" s="11">
        <v>0</v>
      </c>
      <c r="L455" s="74">
        <f t="shared" ref="L455:L468" si="22">I455-K455</f>
        <v>128</v>
      </c>
      <c r="M455" s="34">
        <f t="shared" si="20"/>
        <v>65</v>
      </c>
    </row>
    <row r="456" spans="1:13" ht="15" customHeight="1" x14ac:dyDescent="0.2">
      <c r="A456" s="30" t="s">
        <v>712</v>
      </c>
      <c r="B456" s="31" t="s">
        <v>101</v>
      </c>
      <c r="C456" s="8"/>
      <c r="D456" s="32"/>
      <c r="E456" s="32" t="s">
        <v>280</v>
      </c>
      <c r="F456" s="40">
        <v>1</v>
      </c>
      <c r="G456" s="9">
        <v>24.7</v>
      </c>
      <c r="H456" s="10">
        <v>48</v>
      </c>
      <c r="I456" s="10">
        <f t="shared" si="21"/>
        <v>48</v>
      </c>
      <c r="J456" s="11"/>
      <c r="K456" s="11">
        <v>0</v>
      </c>
      <c r="L456" s="74">
        <f t="shared" si="22"/>
        <v>48</v>
      </c>
      <c r="M456" s="34">
        <f t="shared" si="20"/>
        <v>24.7</v>
      </c>
    </row>
    <row r="457" spans="1:13" ht="15" customHeight="1" x14ac:dyDescent="0.2">
      <c r="A457" s="30" t="s">
        <v>712</v>
      </c>
      <c r="B457" s="31" t="s">
        <v>52</v>
      </c>
      <c r="C457" s="8"/>
      <c r="D457" s="32" t="s">
        <v>721</v>
      </c>
      <c r="E457" s="32" t="s">
        <v>231</v>
      </c>
      <c r="F457" s="40">
        <v>1</v>
      </c>
      <c r="G457" s="9">
        <v>158</v>
      </c>
      <c r="H457" s="10">
        <v>228</v>
      </c>
      <c r="I457" s="10">
        <f t="shared" si="21"/>
        <v>228</v>
      </c>
      <c r="J457" s="11"/>
      <c r="K457" s="11">
        <v>0</v>
      </c>
      <c r="L457" s="74">
        <f t="shared" si="22"/>
        <v>228</v>
      </c>
      <c r="M457" s="34">
        <f t="shared" si="20"/>
        <v>158</v>
      </c>
    </row>
    <row r="458" spans="1:13" ht="15" customHeight="1" x14ac:dyDescent="0.2">
      <c r="A458" s="30" t="s">
        <v>712</v>
      </c>
      <c r="B458" s="31" t="s">
        <v>60</v>
      </c>
      <c r="C458" s="8"/>
      <c r="D458" s="32"/>
      <c r="E458" s="32" t="s">
        <v>239</v>
      </c>
      <c r="F458" s="40">
        <v>1</v>
      </c>
      <c r="G458" s="9">
        <v>100</v>
      </c>
      <c r="H458" s="10">
        <v>188</v>
      </c>
      <c r="I458" s="10">
        <f t="shared" si="21"/>
        <v>188</v>
      </c>
      <c r="J458" s="11"/>
      <c r="K458" s="11">
        <v>0</v>
      </c>
      <c r="L458" s="74">
        <f t="shared" si="22"/>
        <v>188</v>
      </c>
      <c r="M458" s="34">
        <f t="shared" si="20"/>
        <v>100</v>
      </c>
    </row>
    <row r="459" spans="1:13" ht="15" customHeight="1" x14ac:dyDescent="0.2">
      <c r="A459" s="30" t="s">
        <v>712</v>
      </c>
      <c r="B459" s="31" t="s">
        <v>48</v>
      </c>
      <c r="C459" s="8"/>
      <c r="D459" s="32"/>
      <c r="E459" s="32" t="s">
        <v>227</v>
      </c>
      <c r="F459" s="40">
        <v>2</v>
      </c>
      <c r="G459" s="9">
        <v>13</v>
      </c>
      <c r="H459" s="10">
        <v>20</v>
      </c>
      <c r="I459" s="10">
        <f t="shared" si="21"/>
        <v>40</v>
      </c>
      <c r="J459" s="11"/>
      <c r="K459" s="11">
        <v>0</v>
      </c>
      <c r="L459" s="74">
        <f t="shared" si="22"/>
        <v>40</v>
      </c>
      <c r="M459" s="34">
        <f t="shared" si="20"/>
        <v>26</v>
      </c>
    </row>
    <row r="460" spans="1:13" ht="15" customHeight="1" x14ac:dyDescent="0.2">
      <c r="A460" s="30" t="s">
        <v>712</v>
      </c>
      <c r="B460" s="31" t="s">
        <v>98</v>
      </c>
      <c r="C460" s="8"/>
      <c r="D460" s="32"/>
      <c r="E460" s="32" t="s">
        <v>277</v>
      </c>
      <c r="F460" s="40">
        <v>2</v>
      </c>
      <c r="G460" s="9">
        <v>24.7</v>
      </c>
      <c r="H460" s="10">
        <v>48</v>
      </c>
      <c r="I460" s="10">
        <f t="shared" si="21"/>
        <v>96</v>
      </c>
      <c r="J460" s="11"/>
      <c r="K460" s="11">
        <v>0</v>
      </c>
      <c r="L460" s="74">
        <f t="shared" si="22"/>
        <v>96</v>
      </c>
      <c r="M460" s="34">
        <f t="shared" si="20"/>
        <v>49.4</v>
      </c>
    </row>
    <row r="461" spans="1:13" ht="15" customHeight="1" x14ac:dyDescent="0.2">
      <c r="A461" s="30" t="s">
        <v>712</v>
      </c>
      <c r="B461" s="31" t="s">
        <v>73</v>
      </c>
      <c r="C461" s="8"/>
      <c r="D461" s="32"/>
      <c r="E461" s="32" t="s">
        <v>252</v>
      </c>
      <c r="F461" s="40">
        <v>1</v>
      </c>
      <c r="G461" s="9">
        <v>6.5</v>
      </c>
      <c r="H461" s="10">
        <v>10</v>
      </c>
      <c r="I461" s="10">
        <f t="shared" si="21"/>
        <v>10</v>
      </c>
      <c r="J461" s="11"/>
      <c r="K461" s="11">
        <v>0</v>
      </c>
      <c r="L461" s="74">
        <f t="shared" si="22"/>
        <v>10</v>
      </c>
      <c r="M461" s="34">
        <f t="shared" si="20"/>
        <v>6.5</v>
      </c>
    </row>
    <row r="462" spans="1:13" ht="15" customHeight="1" x14ac:dyDescent="0.2">
      <c r="A462" s="30" t="s">
        <v>712</v>
      </c>
      <c r="B462" s="31" t="s">
        <v>49</v>
      </c>
      <c r="C462" s="8"/>
      <c r="D462" s="32" t="s">
        <v>722</v>
      </c>
      <c r="E462" s="32" t="s">
        <v>228</v>
      </c>
      <c r="F462" s="40">
        <v>1</v>
      </c>
      <c r="G462" s="9">
        <v>58</v>
      </c>
      <c r="H462" s="10">
        <v>88</v>
      </c>
      <c r="I462" s="10">
        <f t="shared" si="21"/>
        <v>88</v>
      </c>
      <c r="J462" s="11"/>
      <c r="K462" s="11">
        <v>0</v>
      </c>
      <c r="L462" s="74">
        <f t="shared" si="22"/>
        <v>88</v>
      </c>
      <c r="M462" s="34">
        <f t="shared" si="20"/>
        <v>58</v>
      </c>
    </row>
    <row r="463" spans="1:13" ht="15" customHeight="1" x14ac:dyDescent="0.2">
      <c r="A463" s="30" t="s">
        <v>712</v>
      </c>
      <c r="B463" s="31" t="s">
        <v>112</v>
      </c>
      <c r="C463" s="8"/>
      <c r="D463" s="32"/>
      <c r="E463" s="32" t="s">
        <v>291</v>
      </c>
      <c r="F463" s="40">
        <v>1</v>
      </c>
      <c r="G463" s="9">
        <v>58</v>
      </c>
      <c r="H463" s="10">
        <v>78</v>
      </c>
      <c r="I463" s="10">
        <f t="shared" si="21"/>
        <v>78</v>
      </c>
      <c r="J463" s="11"/>
      <c r="K463" s="11">
        <v>0</v>
      </c>
      <c r="L463" s="74">
        <f t="shared" si="22"/>
        <v>78</v>
      </c>
      <c r="M463" s="34">
        <f t="shared" si="20"/>
        <v>58</v>
      </c>
    </row>
    <row r="464" spans="1:13" ht="15" customHeight="1" x14ac:dyDescent="0.2">
      <c r="A464" s="30" t="s">
        <v>712</v>
      </c>
      <c r="B464" s="31" t="s">
        <v>63</v>
      </c>
      <c r="C464" s="8"/>
      <c r="D464" s="32"/>
      <c r="E464" s="32" t="s">
        <v>242</v>
      </c>
      <c r="F464" s="40">
        <v>1</v>
      </c>
      <c r="G464" s="9">
        <v>5</v>
      </c>
      <c r="H464" s="10">
        <v>10</v>
      </c>
      <c r="I464" s="10">
        <f t="shared" si="21"/>
        <v>10</v>
      </c>
      <c r="J464" s="11"/>
      <c r="K464" s="11">
        <v>0</v>
      </c>
      <c r="L464" s="74">
        <f t="shared" si="22"/>
        <v>10</v>
      </c>
      <c r="M464" s="34">
        <f t="shared" si="20"/>
        <v>5</v>
      </c>
    </row>
    <row r="465" spans="1:13" ht="15" customHeight="1" x14ac:dyDescent="0.2">
      <c r="A465" s="30" t="s">
        <v>712</v>
      </c>
      <c r="B465" s="31" t="s">
        <v>97</v>
      </c>
      <c r="C465" s="8"/>
      <c r="D465" s="32" t="s">
        <v>723</v>
      </c>
      <c r="E465" s="32" t="s">
        <v>276</v>
      </c>
      <c r="F465" s="40">
        <v>1</v>
      </c>
      <c r="G465" s="9">
        <v>172</v>
      </c>
      <c r="H465" s="10">
        <v>228</v>
      </c>
      <c r="I465" s="10">
        <f t="shared" si="21"/>
        <v>228</v>
      </c>
      <c r="J465" s="11"/>
      <c r="K465" s="11">
        <v>0</v>
      </c>
      <c r="L465" s="74">
        <f t="shared" si="22"/>
        <v>228</v>
      </c>
      <c r="M465" s="34">
        <f t="shared" si="20"/>
        <v>172</v>
      </c>
    </row>
    <row r="466" spans="1:13" ht="15" customHeight="1" x14ac:dyDescent="0.2">
      <c r="A466" s="30" t="s">
        <v>712</v>
      </c>
      <c r="B466" s="31" t="s">
        <v>98</v>
      </c>
      <c r="C466" s="8"/>
      <c r="D466" s="32"/>
      <c r="E466" s="32" t="s">
        <v>277</v>
      </c>
      <c r="F466" s="40">
        <v>1</v>
      </c>
      <c r="G466" s="9">
        <v>24.7</v>
      </c>
      <c r="H466" s="10">
        <v>48</v>
      </c>
      <c r="I466" s="10">
        <f t="shared" si="21"/>
        <v>48</v>
      </c>
      <c r="J466" s="11"/>
      <c r="K466" s="11">
        <v>0</v>
      </c>
      <c r="L466" s="74">
        <f t="shared" si="22"/>
        <v>48</v>
      </c>
      <c r="M466" s="34">
        <f t="shared" si="20"/>
        <v>24.7</v>
      </c>
    </row>
    <row r="467" spans="1:13" ht="15" customHeight="1" x14ac:dyDescent="0.2">
      <c r="A467" s="30" t="s">
        <v>712</v>
      </c>
      <c r="B467" s="31" t="s">
        <v>108</v>
      </c>
      <c r="C467" s="8"/>
      <c r="D467" s="32"/>
      <c r="E467" s="32" t="s">
        <v>287</v>
      </c>
      <c r="F467" s="40">
        <v>1</v>
      </c>
      <c r="G467" s="9">
        <v>122.2</v>
      </c>
      <c r="H467" s="10">
        <v>248</v>
      </c>
      <c r="I467" s="10">
        <f t="shared" si="21"/>
        <v>248</v>
      </c>
      <c r="J467" s="11"/>
      <c r="K467" s="11">
        <v>0</v>
      </c>
      <c r="L467" s="74">
        <f t="shared" si="22"/>
        <v>248</v>
      </c>
      <c r="M467" s="34">
        <f t="shared" si="20"/>
        <v>122.2</v>
      </c>
    </row>
    <row r="468" spans="1:13" ht="15" customHeight="1" x14ac:dyDescent="0.2">
      <c r="A468" s="30" t="s">
        <v>712</v>
      </c>
      <c r="B468" s="31" t="s">
        <v>48</v>
      </c>
      <c r="C468" s="8"/>
      <c r="D468" s="32"/>
      <c r="E468" s="32" t="s">
        <v>227</v>
      </c>
      <c r="F468" s="40">
        <v>4</v>
      </c>
      <c r="G468" s="9">
        <v>13</v>
      </c>
      <c r="H468" s="10">
        <v>20</v>
      </c>
      <c r="I468" s="10">
        <f t="shared" si="21"/>
        <v>80</v>
      </c>
      <c r="J468" s="11"/>
      <c r="K468" s="11">
        <v>0</v>
      </c>
      <c r="L468" s="74">
        <f t="shared" si="22"/>
        <v>80</v>
      </c>
      <c r="M468" s="34">
        <f t="shared" si="20"/>
        <v>52</v>
      </c>
    </row>
    <row r="469" spans="1:13" ht="15" customHeight="1" x14ac:dyDescent="0.2">
      <c r="A469" s="30" t="s">
        <v>730</v>
      </c>
      <c r="B469" s="31" t="s">
        <v>731</v>
      </c>
      <c r="C469" s="8"/>
      <c r="D469" s="32" t="s">
        <v>733</v>
      </c>
      <c r="E469" s="32" t="s">
        <v>737</v>
      </c>
      <c r="F469" s="40">
        <v>2</v>
      </c>
      <c r="G469" s="9">
        <v>63.7</v>
      </c>
      <c r="H469" s="82">
        <v>128</v>
      </c>
      <c r="I469" s="10">
        <f t="shared" ref="I469:I532" si="23">F469*H469</f>
        <v>256</v>
      </c>
      <c r="J469" s="11"/>
      <c r="K469" s="11">
        <v>0</v>
      </c>
      <c r="L469" s="74">
        <f t="shared" ref="L469:L532" si="24">I469-K469</f>
        <v>256</v>
      </c>
      <c r="M469" s="34">
        <f t="shared" si="20"/>
        <v>127.4</v>
      </c>
    </row>
    <row r="470" spans="1:13" ht="15" customHeight="1" x14ac:dyDescent="0.2">
      <c r="A470" s="30" t="s">
        <v>730</v>
      </c>
      <c r="B470" s="31" t="s">
        <v>80</v>
      </c>
      <c r="C470" s="8"/>
      <c r="D470" s="32"/>
      <c r="E470" s="32" t="s">
        <v>259</v>
      </c>
      <c r="F470" s="40">
        <v>1</v>
      </c>
      <c r="G470" s="9">
        <v>83.2</v>
      </c>
      <c r="H470" s="82">
        <v>128</v>
      </c>
      <c r="I470" s="10">
        <f t="shared" si="23"/>
        <v>128</v>
      </c>
      <c r="J470" s="11"/>
      <c r="K470" s="11">
        <v>0</v>
      </c>
      <c r="L470" s="74">
        <f t="shared" si="24"/>
        <v>128</v>
      </c>
      <c r="M470" s="34">
        <f t="shared" si="20"/>
        <v>83.2</v>
      </c>
    </row>
    <row r="471" spans="1:13" ht="15" customHeight="1" x14ac:dyDescent="0.2">
      <c r="A471" s="30" t="s">
        <v>730</v>
      </c>
      <c r="B471" s="31" t="s">
        <v>69</v>
      </c>
      <c r="C471" s="8"/>
      <c r="D471" s="32" t="s">
        <v>734</v>
      </c>
      <c r="E471" s="32" t="s">
        <v>248</v>
      </c>
      <c r="F471" s="40">
        <v>4</v>
      </c>
      <c r="G471" s="9">
        <v>32.5</v>
      </c>
      <c r="H471" s="82">
        <v>60</v>
      </c>
      <c r="I471" s="10">
        <f t="shared" si="23"/>
        <v>240</v>
      </c>
      <c r="J471" s="11"/>
      <c r="K471" s="11">
        <v>0</v>
      </c>
      <c r="L471" s="74">
        <f t="shared" si="24"/>
        <v>240</v>
      </c>
      <c r="M471" s="34">
        <f t="shared" si="20"/>
        <v>130</v>
      </c>
    </row>
    <row r="472" spans="1:13" ht="15" customHeight="1" x14ac:dyDescent="0.2">
      <c r="A472" s="30" t="s">
        <v>730</v>
      </c>
      <c r="B472" s="31" t="s">
        <v>73</v>
      </c>
      <c r="C472" s="8"/>
      <c r="D472" s="32"/>
      <c r="E472" s="32" t="s">
        <v>252</v>
      </c>
      <c r="F472" s="40">
        <v>4</v>
      </c>
      <c r="G472" s="9">
        <v>6.5</v>
      </c>
      <c r="H472" s="82">
        <v>10</v>
      </c>
      <c r="I472" s="10">
        <f t="shared" si="23"/>
        <v>40</v>
      </c>
      <c r="J472" s="11"/>
      <c r="K472" s="11">
        <v>0</v>
      </c>
      <c r="L472" s="74">
        <f t="shared" si="24"/>
        <v>40</v>
      </c>
      <c r="M472" s="34">
        <f t="shared" si="20"/>
        <v>26</v>
      </c>
    </row>
    <row r="473" spans="1:13" ht="15" customHeight="1" x14ac:dyDescent="0.2">
      <c r="A473" s="30" t="s">
        <v>730</v>
      </c>
      <c r="B473" s="31" t="s">
        <v>69</v>
      </c>
      <c r="C473" s="8"/>
      <c r="D473" s="32" t="s">
        <v>735</v>
      </c>
      <c r="E473" s="32" t="s">
        <v>248</v>
      </c>
      <c r="F473" s="40">
        <v>2</v>
      </c>
      <c r="G473" s="9">
        <v>32.5</v>
      </c>
      <c r="H473" s="82">
        <v>60</v>
      </c>
      <c r="I473" s="10">
        <f t="shared" si="23"/>
        <v>120</v>
      </c>
      <c r="J473" s="11"/>
      <c r="K473" s="11">
        <v>0</v>
      </c>
      <c r="L473" s="74">
        <f t="shared" si="24"/>
        <v>120</v>
      </c>
      <c r="M473" s="34">
        <f t="shared" si="20"/>
        <v>65</v>
      </c>
    </row>
    <row r="474" spans="1:13" ht="15" customHeight="1" x14ac:dyDescent="0.2">
      <c r="A474" s="30" t="s">
        <v>730</v>
      </c>
      <c r="B474" s="31" t="s">
        <v>73</v>
      </c>
      <c r="C474" s="8"/>
      <c r="D474" s="32"/>
      <c r="E474" s="32" t="s">
        <v>252</v>
      </c>
      <c r="F474" s="40">
        <v>1</v>
      </c>
      <c r="G474" s="9">
        <v>6.5</v>
      </c>
      <c r="H474" s="82">
        <v>10</v>
      </c>
      <c r="I474" s="10">
        <f t="shared" si="23"/>
        <v>10</v>
      </c>
      <c r="J474" s="11"/>
      <c r="K474" s="11">
        <v>0</v>
      </c>
      <c r="L474" s="74">
        <f t="shared" si="24"/>
        <v>10</v>
      </c>
      <c r="M474" s="34">
        <f t="shared" si="20"/>
        <v>6.5</v>
      </c>
    </row>
    <row r="475" spans="1:13" ht="15" customHeight="1" x14ac:dyDescent="0.2">
      <c r="A475" s="30" t="s">
        <v>730</v>
      </c>
      <c r="B475" s="31" t="s">
        <v>732</v>
      </c>
      <c r="C475" s="8"/>
      <c r="D475" s="32" t="s">
        <v>736</v>
      </c>
      <c r="E475" s="32" t="s">
        <v>738</v>
      </c>
      <c r="F475" s="40">
        <v>1</v>
      </c>
      <c r="G475" s="9">
        <v>6000</v>
      </c>
      <c r="H475" s="83">
        <v>10000</v>
      </c>
      <c r="I475" s="10">
        <f t="shared" si="23"/>
        <v>10000</v>
      </c>
      <c r="J475" s="11"/>
      <c r="K475" s="11">
        <v>0</v>
      </c>
      <c r="L475" s="74">
        <f t="shared" si="24"/>
        <v>10000</v>
      </c>
      <c r="M475" s="34">
        <f t="shared" ref="M475:M538" si="25">F475*G475</f>
        <v>6000</v>
      </c>
    </row>
    <row r="476" spans="1:13" ht="15" customHeight="1" x14ac:dyDescent="0.2">
      <c r="A476" s="30" t="s">
        <v>757</v>
      </c>
      <c r="B476" s="31" t="s">
        <v>60</v>
      </c>
      <c r="C476" s="8"/>
      <c r="D476" s="32" t="s">
        <v>764</v>
      </c>
      <c r="E476" s="32" t="s">
        <v>239</v>
      </c>
      <c r="F476" s="40">
        <v>1</v>
      </c>
      <c r="G476" s="9">
        <v>100</v>
      </c>
      <c r="H476" s="10">
        <v>188</v>
      </c>
      <c r="I476" s="10">
        <f t="shared" si="23"/>
        <v>188</v>
      </c>
      <c r="J476" s="11"/>
      <c r="K476" s="11">
        <v>0</v>
      </c>
      <c r="L476" s="74">
        <f t="shared" si="24"/>
        <v>188</v>
      </c>
      <c r="M476" s="34">
        <f t="shared" si="25"/>
        <v>100</v>
      </c>
    </row>
    <row r="477" spans="1:13" ht="15" customHeight="1" x14ac:dyDescent="0.2">
      <c r="A477" s="30" t="s">
        <v>757</v>
      </c>
      <c r="B477" s="31" t="s">
        <v>80</v>
      </c>
      <c r="C477" s="8"/>
      <c r="D477" s="32" t="s">
        <v>765</v>
      </c>
      <c r="E477" s="32" t="s">
        <v>259</v>
      </c>
      <c r="F477" s="40">
        <v>1</v>
      </c>
      <c r="G477" s="9">
        <v>83.2</v>
      </c>
      <c r="H477" s="10">
        <v>128</v>
      </c>
      <c r="I477" s="10">
        <f t="shared" si="23"/>
        <v>128</v>
      </c>
      <c r="J477" s="11"/>
      <c r="K477" s="11">
        <v>0</v>
      </c>
      <c r="L477" s="74">
        <f t="shared" si="24"/>
        <v>128</v>
      </c>
      <c r="M477" s="34">
        <f t="shared" si="25"/>
        <v>83.2</v>
      </c>
    </row>
    <row r="478" spans="1:13" ht="15" customHeight="1" x14ac:dyDescent="0.2">
      <c r="A478" s="30" t="s">
        <v>757</v>
      </c>
      <c r="B478" s="31" t="s">
        <v>67</v>
      </c>
      <c r="C478" s="8"/>
      <c r="D478" s="32" t="s">
        <v>766</v>
      </c>
      <c r="E478" s="32" t="s">
        <v>246</v>
      </c>
      <c r="F478" s="40">
        <v>2</v>
      </c>
      <c r="G478" s="9">
        <v>58</v>
      </c>
      <c r="H478" s="10">
        <v>78</v>
      </c>
      <c r="I478" s="10">
        <f t="shared" si="23"/>
        <v>156</v>
      </c>
      <c r="J478" s="11"/>
      <c r="K478" s="11">
        <v>0</v>
      </c>
      <c r="L478" s="74">
        <f t="shared" si="24"/>
        <v>156</v>
      </c>
      <c r="M478" s="34">
        <f t="shared" si="25"/>
        <v>116</v>
      </c>
    </row>
    <row r="479" spans="1:13" ht="15" customHeight="1" x14ac:dyDescent="0.2">
      <c r="A479" s="30" t="s">
        <v>757</v>
      </c>
      <c r="B479" s="31" t="s">
        <v>63</v>
      </c>
      <c r="C479" s="8"/>
      <c r="D479" s="32"/>
      <c r="E479" s="32" t="s">
        <v>242</v>
      </c>
      <c r="F479" s="40">
        <v>2</v>
      </c>
      <c r="G479" s="9">
        <v>5</v>
      </c>
      <c r="H479" s="10">
        <v>10</v>
      </c>
      <c r="I479" s="10">
        <f t="shared" si="23"/>
        <v>20</v>
      </c>
      <c r="J479" s="11"/>
      <c r="K479" s="11">
        <v>0</v>
      </c>
      <c r="L479" s="74">
        <f t="shared" si="24"/>
        <v>20</v>
      </c>
      <c r="M479" s="34">
        <f t="shared" si="25"/>
        <v>10</v>
      </c>
    </row>
    <row r="480" spans="1:13" ht="15" customHeight="1" x14ac:dyDescent="0.2">
      <c r="A480" s="30" t="s">
        <v>757</v>
      </c>
      <c r="B480" s="31" t="s">
        <v>98</v>
      </c>
      <c r="C480" s="8"/>
      <c r="D480" s="32" t="s">
        <v>767</v>
      </c>
      <c r="E480" s="32" t="s">
        <v>277</v>
      </c>
      <c r="F480" s="40">
        <v>5</v>
      </c>
      <c r="G480" s="9">
        <v>24.7</v>
      </c>
      <c r="H480" s="10">
        <v>48</v>
      </c>
      <c r="I480" s="10">
        <f t="shared" si="23"/>
        <v>240</v>
      </c>
      <c r="J480" s="11"/>
      <c r="K480" s="11">
        <v>0</v>
      </c>
      <c r="L480" s="74">
        <f t="shared" si="24"/>
        <v>240</v>
      </c>
      <c r="M480" s="34">
        <f t="shared" si="25"/>
        <v>123.5</v>
      </c>
    </row>
    <row r="481" spans="1:13" ht="15" customHeight="1" x14ac:dyDescent="0.2">
      <c r="A481" s="30" t="s">
        <v>757</v>
      </c>
      <c r="B481" s="31" t="s">
        <v>80</v>
      </c>
      <c r="C481" s="8"/>
      <c r="D481" s="32"/>
      <c r="E481" s="32" t="s">
        <v>259</v>
      </c>
      <c r="F481" s="40">
        <v>1</v>
      </c>
      <c r="G481" s="9">
        <v>83.2</v>
      </c>
      <c r="H481" s="10">
        <v>128</v>
      </c>
      <c r="I481" s="10">
        <f t="shared" si="23"/>
        <v>128</v>
      </c>
      <c r="J481" s="11"/>
      <c r="K481" s="11">
        <v>0</v>
      </c>
      <c r="L481" s="74">
        <f t="shared" si="24"/>
        <v>128</v>
      </c>
      <c r="M481" s="34">
        <f t="shared" si="25"/>
        <v>83.2</v>
      </c>
    </row>
    <row r="482" spans="1:13" ht="15" customHeight="1" x14ac:dyDescent="0.2">
      <c r="A482" s="30" t="s">
        <v>757</v>
      </c>
      <c r="B482" s="31" t="s">
        <v>759</v>
      </c>
      <c r="C482" s="8"/>
      <c r="D482" s="32"/>
      <c r="E482" s="32" t="s">
        <v>785</v>
      </c>
      <c r="F482" s="40">
        <v>3</v>
      </c>
      <c r="G482" s="9">
        <v>83</v>
      </c>
      <c r="H482" s="10">
        <v>128</v>
      </c>
      <c r="I482" s="10">
        <f t="shared" si="23"/>
        <v>384</v>
      </c>
      <c r="J482" s="11"/>
      <c r="K482" s="11">
        <v>0</v>
      </c>
      <c r="L482" s="74">
        <f t="shared" si="24"/>
        <v>384</v>
      </c>
      <c r="M482" s="34">
        <f t="shared" si="25"/>
        <v>249</v>
      </c>
    </row>
    <row r="483" spans="1:13" ht="15" customHeight="1" x14ac:dyDescent="0.2">
      <c r="A483" s="30" t="s">
        <v>757</v>
      </c>
      <c r="B483" s="31" t="s">
        <v>68</v>
      </c>
      <c r="C483" s="8"/>
      <c r="D483" s="32" t="s">
        <v>768</v>
      </c>
      <c r="E483" s="32" t="s">
        <v>247</v>
      </c>
      <c r="F483" s="40">
        <v>2</v>
      </c>
      <c r="G483" s="9">
        <v>83.2</v>
      </c>
      <c r="H483" s="10">
        <v>298</v>
      </c>
      <c r="I483" s="10">
        <f t="shared" si="23"/>
        <v>596</v>
      </c>
      <c r="J483" s="11"/>
      <c r="K483" s="11">
        <v>0</v>
      </c>
      <c r="L483" s="74">
        <f t="shared" si="24"/>
        <v>596</v>
      </c>
      <c r="M483" s="34">
        <f t="shared" si="25"/>
        <v>166.4</v>
      </c>
    </row>
    <row r="484" spans="1:13" ht="15" customHeight="1" x14ac:dyDescent="0.2">
      <c r="A484" s="30" t="s">
        <v>757</v>
      </c>
      <c r="B484" s="31" t="s">
        <v>54</v>
      </c>
      <c r="C484" s="8"/>
      <c r="D484" s="32" t="s">
        <v>769</v>
      </c>
      <c r="E484" s="32" t="s">
        <v>233</v>
      </c>
      <c r="F484" s="40">
        <v>2</v>
      </c>
      <c r="G484" s="9">
        <v>115.7</v>
      </c>
      <c r="H484" s="10">
        <v>188</v>
      </c>
      <c r="I484" s="10">
        <f t="shared" si="23"/>
        <v>376</v>
      </c>
      <c r="J484" s="11"/>
      <c r="K484" s="11">
        <v>0</v>
      </c>
      <c r="L484" s="74">
        <f t="shared" si="24"/>
        <v>376</v>
      </c>
      <c r="M484" s="34">
        <f t="shared" si="25"/>
        <v>231.4</v>
      </c>
    </row>
    <row r="485" spans="1:13" ht="15" customHeight="1" x14ac:dyDescent="0.2">
      <c r="A485" s="30" t="s">
        <v>757</v>
      </c>
      <c r="B485" s="31" t="s">
        <v>51</v>
      </c>
      <c r="C485" s="8"/>
      <c r="D485" s="32"/>
      <c r="E485" s="32" t="s">
        <v>230</v>
      </c>
      <c r="F485" s="40">
        <v>2</v>
      </c>
      <c r="G485" s="9">
        <v>180</v>
      </c>
      <c r="H485" s="10">
        <v>228</v>
      </c>
      <c r="I485" s="10">
        <f t="shared" si="23"/>
        <v>456</v>
      </c>
      <c r="J485" s="11"/>
      <c r="K485" s="11">
        <v>0</v>
      </c>
      <c r="L485" s="74">
        <f t="shared" si="24"/>
        <v>456</v>
      </c>
      <c r="M485" s="34">
        <f t="shared" si="25"/>
        <v>360</v>
      </c>
    </row>
    <row r="486" spans="1:13" ht="15" customHeight="1" x14ac:dyDescent="0.2">
      <c r="A486" s="30" t="s">
        <v>757</v>
      </c>
      <c r="B486" s="31" t="s">
        <v>61</v>
      </c>
      <c r="C486" s="8"/>
      <c r="D486" s="32"/>
      <c r="E486" s="32" t="s">
        <v>240</v>
      </c>
      <c r="F486" s="40">
        <v>2</v>
      </c>
      <c r="G486" s="9">
        <v>323.7</v>
      </c>
      <c r="H486" s="10">
        <v>698</v>
      </c>
      <c r="I486" s="10">
        <f t="shared" si="23"/>
        <v>1396</v>
      </c>
      <c r="J486" s="11"/>
      <c r="K486" s="11">
        <v>0</v>
      </c>
      <c r="L486" s="74">
        <f t="shared" si="24"/>
        <v>1396</v>
      </c>
      <c r="M486" s="34">
        <f t="shared" si="25"/>
        <v>647.4</v>
      </c>
    </row>
    <row r="487" spans="1:13" ht="15" customHeight="1" x14ac:dyDescent="0.2">
      <c r="A487" s="30" t="s">
        <v>757</v>
      </c>
      <c r="B487" s="31" t="s">
        <v>81</v>
      </c>
      <c r="C487" s="8"/>
      <c r="D487" s="32"/>
      <c r="E487" s="32" t="s">
        <v>260</v>
      </c>
      <c r="F487" s="40">
        <v>2</v>
      </c>
      <c r="G487" s="9">
        <v>115.7</v>
      </c>
      <c r="H487" s="10">
        <v>298</v>
      </c>
      <c r="I487" s="10">
        <f t="shared" si="23"/>
        <v>596</v>
      </c>
      <c r="J487" s="11"/>
      <c r="K487" s="11">
        <v>0</v>
      </c>
      <c r="L487" s="74">
        <f t="shared" si="24"/>
        <v>596</v>
      </c>
      <c r="M487" s="34">
        <f t="shared" si="25"/>
        <v>231.4</v>
      </c>
    </row>
    <row r="488" spans="1:13" ht="15" customHeight="1" x14ac:dyDescent="0.2">
      <c r="A488" s="30" t="s">
        <v>757</v>
      </c>
      <c r="B488" s="31" t="s">
        <v>47</v>
      </c>
      <c r="C488" s="8"/>
      <c r="D488" s="32"/>
      <c r="E488" s="32" t="s">
        <v>226</v>
      </c>
      <c r="F488" s="40">
        <v>2</v>
      </c>
      <c r="G488" s="9">
        <v>115.7</v>
      </c>
      <c r="H488" s="10">
        <v>188</v>
      </c>
      <c r="I488" s="10">
        <f t="shared" si="23"/>
        <v>376</v>
      </c>
      <c r="J488" s="11"/>
      <c r="K488" s="11">
        <v>0</v>
      </c>
      <c r="L488" s="74">
        <f t="shared" si="24"/>
        <v>376</v>
      </c>
      <c r="M488" s="34">
        <f t="shared" si="25"/>
        <v>231.4</v>
      </c>
    </row>
    <row r="489" spans="1:13" ht="15" customHeight="1" x14ac:dyDescent="0.2">
      <c r="A489" s="30" t="s">
        <v>757</v>
      </c>
      <c r="B489" s="31" t="s">
        <v>97</v>
      </c>
      <c r="C489" s="8"/>
      <c r="D489" s="32"/>
      <c r="E489" s="32" t="s">
        <v>276</v>
      </c>
      <c r="F489" s="40">
        <v>2</v>
      </c>
      <c r="G489" s="9">
        <v>172</v>
      </c>
      <c r="H489" s="10">
        <v>228</v>
      </c>
      <c r="I489" s="10">
        <f t="shared" si="23"/>
        <v>456</v>
      </c>
      <c r="J489" s="11"/>
      <c r="K489" s="11">
        <v>0</v>
      </c>
      <c r="L489" s="74">
        <f t="shared" si="24"/>
        <v>456</v>
      </c>
      <c r="M489" s="34">
        <f t="shared" si="25"/>
        <v>344</v>
      </c>
    </row>
    <row r="490" spans="1:13" ht="15" customHeight="1" x14ac:dyDescent="0.2">
      <c r="A490" s="30" t="s">
        <v>757</v>
      </c>
      <c r="B490" s="31" t="s">
        <v>76</v>
      </c>
      <c r="C490" s="8"/>
      <c r="D490" s="32"/>
      <c r="E490" s="32" t="s">
        <v>255</v>
      </c>
      <c r="F490" s="40">
        <v>2</v>
      </c>
      <c r="G490" s="9">
        <v>50.7</v>
      </c>
      <c r="H490" s="10">
        <v>78</v>
      </c>
      <c r="I490" s="10">
        <f t="shared" si="23"/>
        <v>156</v>
      </c>
      <c r="J490" s="11"/>
      <c r="K490" s="11">
        <v>0</v>
      </c>
      <c r="L490" s="74">
        <f t="shared" si="24"/>
        <v>156</v>
      </c>
      <c r="M490" s="34">
        <f t="shared" si="25"/>
        <v>101.4</v>
      </c>
    </row>
    <row r="491" spans="1:13" ht="15" customHeight="1" x14ac:dyDescent="0.2">
      <c r="A491" s="30" t="s">
        <v>757</v>
      </c>
      <c r="B491" s="31" t="s">
        <v>113</v>
      </c>
      <c r="C491" s="8"/>
      <c r="D491" s="32"/>
      <c r="E491" s="32" t="s">
        <v>292</v>
      </c>
      <c r="F491" s="40">
        <v>2</v>
      </c>
      <c r="G491" s="9">
        <v>63.7</v>
      </c>
      <c r="H491" s="10">
        <v>98</v>
      </c>
      <c r="I491" s="10">
        <f t="shared" si="23"/>
        <v>196</v>
      </c>
      <c r="J491" s="11"/>
      <c r="K491" s="11">
        <v>0</v>
      </c>
      <c r="L491" s="74">
        <f t="shared" si="24"/>
        <v>196</v>
      </c>
      <c r="M491" s="34">
        <f t="shared" si="25"/>
        <v>127.4</v>
      </c>
    </row>
    <row r="492" spans="1:13" ht="15" customHeight="1" x14ac:dyDescent="0.2">
      <c r="A492" s="30" t="s">
        <v>757</v>
      </c>
      <c r="B492" s="31" t="s">
        <v>82</v>
      </c>
      <c r="C492" s="8"/>
      <c r="D492" s="32"/>
      <c r="E492" s="32" t="s">
        <v>261</v>
      </c>
      <c r="F492" s="40">
        <v>1</v>
      </c>
      <c r="G492" s="9">
        <v>158</v>
      </c>
      <c r="H492" s="10">
        <v>258</v>
      </c>
      <c r="I492" s="10">
        <f t="shared" si="23"/>
        <v>258</v>
      </c>
      <c r="J492" s="11"/>
      <c r="K492" s="11">
        <v>0</v>
      </c>
      <c r="L492" s="74">
        <f t="shared" si="24"/>
        <v>258</v>
      </c>
      <c r="M492" s="34">
        <f t="shared" si="25"/>
        <v>158</v>
      </c>
    </row>
    <row r="493" spans="1:13" ht="15" customHeight="1" x14ac:dyDescent="0.2">
      <c r="A493" s="30" t="s">
        <v>757</v>
      </c>
      <c r="B493" s="31" t="s">
        <v>55</v>
      </c>
      <c r="C493" s="8"/>
      <c r="D493" s="32" t="s">
        <v>770</v>
      </c>
      <c r="E493" s="32" t="s">
        <v>234</v>
      </c>
      <c r="F493" s="40">
        <v>1</v>
      </c>
      <c r="G493" s="9">
        <v>63.7</v>
      </c>
      <c r="H493" s="10">
        <v>228</v>
      </c>
      <c r="I493" s="10">
        <f t="shared" si="23"/>
        <v>228</v>
      </c>
      <c r="J493" s="11"/>
      <c r="K493" s="11">
        <v>0</v>
      </c>
      <c r="L493" s="74">
        <f t="shared" si="24"/>
        <v>228</v>
      </c>
      <c r="M493" s="34">
        <f t="shared" si="25"/>
        <v>63.7</v>
      </c>
    </row>
    <row r="494" spans="1:13" ht="15" customHeight="1" x14ac:dyDescent="0.2">
      <c r="A494" s="30" t="s">
        <v>757</v>
      </c>
      <c r="B494" s="31" t="s">
        <v>54</v>
      </c>
      <c r="C494" s="8"/>
      <c r="D494" s="32"/>
      <c r="E494" s="32" t="s">
        <v>233</v>
      </c>
      <c r="F494" s="40">
        <v>1</v>
      </c>
      <c r="G494" s="9">
        <v>115.7</v>
      </c>
      <c r="H494" s="10">
        <v>188</v>
      </c>
      <c r="I494" s="10">
        <f t="shared" si="23"/>
        <v>188</v>
      </c>
      <c r="J494" s="11"/>
      <c r="K494" s="11">
        <v>0</v>
      </c>
      <c r="L494" s="74">
        <f t="shared" si="24"/>
        <v>188</v>
      </c>
      <c r="M494" s="34">
        <f t="shared" si="25"/>
        <v>115.7</v>
      </c>
    </row>
    <row r="495" spans="1:13" ht="15" customHeight="1" x14ac:dyDescent="0.2">
      <c r="A495" s="30" t="s">
        <v>757</v>
      </c>
      <c r="B495" s="31" t="s">
        <v>77</v>
      </c>
      <c r="C495" s="8"/>
      <c r="D495" s="32"/>
      <c r="E495" s="32" t="s">
        <v>256</v>
      </c>
      <c r="F495" s="40">
        <v>1</v>
      </c>
      <c r="G495" s="9">
        <v>102.7</v>
      </c>
      <c r="H495" s="10">
        <v>248</v>
      </c>
      <c r="I495" s="10">
        <f t="shared" si="23"/>
        <v>248</v>
      </c>
      <c r="J495" s="11"/>
      <c r="K495" s="11">
        <v>0</v>
      </c>
      <c r="L495" s="74">
        <f t="shared" si="24"/>
        <v>248</v>
      </c>
      <c r="M495" s="34">
        <f t="shared" si="25"/>
        <v>102.7</v>
      </c>
    </row>
    <row r="496" spans="1:13" ht="15" customHeight="1" x14ac:dyDescent="0.2">
      <c r="A496" s="30" t="s">
        <v>757</v>
      </c>
      <c r="B496" s="31" t="s">
        <v>50</v>
      </c>
      <c r="C496" s="8"/>
      <c r="D496" s="32"/>
      <c r="E496" s="32" t="s">
        <v>229</v>
      </c>
      <c r="F496" s="40">
        <v>4</v>
      </c>
      <c r="G496" s="9">
        <v>44.2</v>
      </c>
      <c r="H496" s="10">
        <v>78</v>
      </c>
      <c r="I496" s="10">
        <f t="shared" si="23"/>
        <v>312</v>
      </c>
      <c r="J496" s="11"/>
      <c r="K496" s="11">
        <v>0</v>
      </c>
      <c r="L496" s="74">
        <f t="shared" si="24"/>
        <v>312</v>
      </c>
      <c r="M496" s="34">
        <f t="shared" si="25"/>
        <v>176.8</v>
      </c>
    </row>
    <row r="497" spans="1:13" ht="15" customHeight="1" x14ac:dyDescent="0.2">
      <c r="A497" s="30" t="s">
        <v>757</v>
      </c>
      <c r="B497" s="31" t="s">
        <v>760</v>
      </c>
      <c r="C497" s="8"/>
      <c r="D497" s="32" t="s">
        <v>771</v>
      </c>
      <c r="E497" s="32" t="s">
        <v>786</v>
      </c>
      <c r="F497" s="40">
        <v>1</v>
      </c>
      <c r="G497" s="9">
        <v>4979</v>
      </c>
      <c r="H497" s="10">
        <v>8900</v>
      </c>
      <c r="I497" s="10">
        <f t="shared" si="23"/>
        <v>8900</v>
      </c>
      <c r="J497" s="11"/>
      <c r="K497" s="11">
        <v>0</v>
      </c>
      <c r="L497" s="74">
        <f t="shared" si="24"/>
        <v>8900</v>
      </c>
      <c r="M497" s="34">
        <f t="shared" si="25"/>
        <v>4979</v>
      </c>
    </row>
    <row r="498" spans="1:13" ht="15" customHeight="1" x14ac:dyDescent="0.2">
      <c r="A498" s="30" t="s">
        <v>757</v>
      </c>
      <c r="B498" s="31" t="s">
        <v>97</v>
      </c>
      <c r="C498" s="8"/>
      <c r="D498" s="32" t="s">
        <v>772</v>
      </c>
      <c r="E498" s="32" t="s">
        <v>276</v>
      </c>
      <c r="F498" s="40">
        <v>1</v>
      </c>
      <c r="G498" s="9">
        <v>172</v>
      </c>
      <c r="H498" s="10">
        <v>228</v>
      </c>
      <c r="I498" s="10">
        <f t="shared" si="23"/>
        <v>228</v>
      </c>
      <c r="J498" s="11"/>
      <c r="K498" s="11">
        <v>0</v>
      </c>
      <c r="L498" s="74">
        <f t="shared" si="24"/>
        <v>228</v>
      </c>
      <c r="M498" s="34">
        <f t="shared" si="25"/>
        <v>172</v>
      </c>
    </row>
    <row r="499" spans="1:13" ht="15" customHeight="1" x14ac:dyDescent="0.2">
      <c r="A499" s="30" t="s">
        <v>757</v>
      </c>
      <c r="B499" s="31" t="s">
        <v>62</v>
      </c>
      <c r="C499" s="8"/>
      <c r="D499" s="32"/>
      <c r="E499" s="32" t="s">
        <v>241</v>
      </c>
      <c r="F499" s="40">
        <v>1</v>
      </c>
      <c r="G499" s="9">
        <v>188</v>
      </c>
      <c r="H499" s="10">
        <v>188</v>
      </c>
      <c r="I499" s="10">
        <f t="shared" si="23"/>
        <v>188</v>
      </c>
      <c r="J499" s="11"/>
      <c r="K499" s="11">
        <v>0</v>
      </c>
      <c r="L499" s="74">
        <f t="shared" si="24"/>
        <v>188</v>
      </c>
      <c r="M499" s="34">
        <f t="shared" si="25"/>
        <v>188</v>
      </c>
    </row>
    <row r="500" spans="1:13" ht="15" customHeight="1" x14ac:dyDescent="0.2">
      <c r="A500" s="30" t="s">
        <v>757</v>
      </c>
      <c r="B500" s="31" t="s">
        <v>61</v>
      </c>
      <c r="C500" s="8"/>
      <c r="D500" s="32"/>
      <c r="E500" s="32" t="s">
        <v>240</v>
      </c>
      <c r="F500" s="40">
        <v>1</v>
      </c>
      <c r="G500" s="9">
        <v>323.7</v>
      </c>
      <c r="H500" s="10">
        <v>698</v>
      </c>
      <c r="I500" s="10">
        <f t="shared" si="23"/>
        <v>698</v>
      </c>
      <c r="J500" s="11"/>
      <c r="K500" s="11">
        <v>0</v>
      </c>
      <c r="L500" s="74">
        <f t="shared" si="24"/>
        <v>698</v>
      </c>
      <c r="M500" s="34">
        <f t="shared" si="25"/>
        <v>323.7</v>
      </c>
    </row>
    <row r="501" spans="1:13" ht="15" customHeight="1" x14ac:dyDescent="0.2">
      <c r="A501" s="30" t="s">
        <v>757</v>
      </c>
      <c r="B501" s="31" t="s">
        <v>76</v>
      </c>
      <c r="C501" s="8"/>
      <c r="D501" s="32"/>
      <c r="E501" s="32" t="s">
        <v>255</v>
      </c>
      <c r="F501" s="40">
        <v>2</v>
      </c>
      <c r="G501" s="9">
        <v>50.7</v>
      </c>
      <c r="H501" s="10">
        <v>78</v>
      </c>
      <c r="I501" s="10">
        <f t="shared" si="23"/>
        <v>156</v>
      </c>
      <c r="J501" s="11"/>
      <c r="K501" s="11">
        <v>0</v>
      </c>
      <c r="L501" s="74">
        <f t="shared" si="24"/>
        <v>156</v>
      </c>
      <c r="M501" s="34">
        <f t="shared" si="25"/>
        <v>101.4</v>
      </c>
    </row>
    <row r="502" spans="1:13" ht="15" customHeight="1" x14ac:dyDescent="0.2">
      <c r="A502" s="30" t="s">
        <v>757</v>
      </c>
      <c r="B502" s="31" t="s">
        <v>69</v>
      </c>
      <c r="C502" s="8"/>
      <c r="D502" s="32"/>
      <c r="E502" s="32" t="s">
        <v>248</v>
      </c>
      <c r="F502" s="40">
        <v>1</v>
      </c>
      <c r="G502" s="9">
        <v>32.5</v>
      </c>
      <c r="H502" s="10">
        <v>60</v>
      </c>
      <c r="I502" s="10">
        <f t="shared" si="23"/>
        <v>60</v>
      </c>
      <c r="J502" s="11"/>
      <c r="K502" s="11">
        <v>0</v>
      </c>
      <c r="L502" s="74">
        <f t="shared" si="24"/>
        <v>60</v>
      </c>
      <c r="M502" s="34">
        <f t="shared" si="25"/>
        <v>32.5</v>
      </c>
    </row>
    <row r="503" spans="1:13" ht="15" customHeight="1" x14ac:dyDescent="0.2">
      <c r="A503" s="30" t="s">
        <v>757</v>
      </c>
      <c r="B503" s="31" t="s">
        <v>73</v>
      </c>
      <c r="C503" s="8"/>
      <c r="D503" s="32"/>
      <c r="E503" s="32" t="s">
        <v>252</v>
      </c>
      <c r="F503" s="40">
        <v>1</v>
      </c>
      <c r="G503" s="9">
        <v>6.5</v>
      </c>
      <c r="H503" s="10">
        <v>10</v>
      </c>
      <c r="I503" s="10">
        <f t="shared" si="23"/>
        <v>10</v>
      </c>
      <c r="J503" s="11"/>
      <c r="K503" s="11">
        <v>5</v>
      </c>
      <c r="L503" s="74">
        <f t="shared" si="24"/>
        <v>5</v>
      </c>
      <c r="M503" s="34">
        <f t="shared" si="25"/>
        <v>6.5</v>
      </c>
    </row>
    <row r="504" spans="1:13" ht="15" customHeight="1" x14ac:dyDescent="0.2">
      <c r="A504" s="30" t="s">
        <v>758</v>
      </c>
      <c r="B504" s="31" t="s">
        <v>69</v>
      </c>
      <c r="C504" s="8"/>
      <c r="D504" s="32" t="s">
        <v>773</v>
      </c>
      <c r="E504" s="32" t="s">
        <v>248</v>
      </c>
      <c r="F504" s="40">
        <v>7</v>
      </c>
      <c r="G504" s="9">
        <v>32.5</v>
      </c>
      <c r="H504" s="10">
        <v>60</v>
      </c>
      <c r="I504" s="10">
        <f t="shared" si="23"/>
        <v>420</v>
      </c>
      <c r="J504" s="11"/>
      <c r="K504" s="11">
        <v>0</v>
      </c>
      <c r="L504" s="74">
        <f t="shared" si="24"/>
        <v>420</v>
      </c>
      <c r="M504" s="34">
        <f t="shared" si="25"/>
        <v>227.5</v>
      </c>
    </row>
    <row r="505" spans="1:13" ht="15" customHeight="1" x14ac:dyDescent="0.2">
      <c r="A505" s="30" t="s">
        <v>758</v>
      </c>
      <c r="B505" s="31" t="s">
        <v>73</v>
      </c>
      <c r="C505" s="8"/>
      <c r="D505" s="32"/>
      <c r="E505" s="32" t="s">
        <v>252</v>
      </c>
      <c r="F505" s="40">
        <v>5</v>
      </c>
      <c r="G505" s="9">
        <v>6.5</v>
      </c>
      <c r="H505" s="10">
        <v>10</v>
      </c>
      <c r="I505" s="10">
        <f t="shared" si="23"/>
        <v>50</v>
      </c>
      <c r="J505" s="11"/>
      <c r="K505" s="11">
        <v>0</v>
      </c>
      <c r="L505" s="74">
        <f t="shared" si="24"/>
        <v>50</v>
      </c>
      <c r="M505" s="34">
        <f t="shared" si="25"/>
        <v>32.5</v>
      </c>
    </row>
    <row r="506" spans="1:13" ht="15" customHeight="1" x14ac:dyDescent="0.2">
      <c r="A506" s="30" t="s">
        <v>758</v>
      </c>
      <c r="B506" s="31" t="s">
        <v>71</v>
      </c>
      <c r="C506" s="8"/>
      <c r="D506" s="32" t="s">
        <v>774</v>
      </c>
      <c r="E506" s="32" t="s">
        <v>250</v>
      </c>
      <c r="F506" s="40">
        <v>2</v>
      </c>
      <c r="G506" s="9">
        <v>258.7</v>
      </c>
      <c r="H506" s="10">
        <v>398</v>
      </c>
      <c r="I506" s="10">
        <f t="shared" si="23"/>
        <v>796</v>
      </c>
      <c r="J506" s="11"/>
      <c r="K506" s="11">
        <v>0</v>
      </c>
      <c r="L506" s="74">
        <f t="shared" si="24"/>
        <v>796</v>
      </c>
      <c r="M506" s="34">
        <f t="shared" si="25"/>
        <v>517.4</v>
      </c>
    </row>
    <row r="507" spans="1:13" ht="15" customHeight="1" x14ac:dyDescent="0.2">
      <c r="A507" s="30" t="s">
        <v>758</v>
      </c>
      <c r="B507" s="31" t="s">
        <v>60</v>
      </c>
      <c r="C507" s="8"/>
      <c r="D507" s="32"/>
      <c r="E507" s="32" t="s">
        <v>239</v>
      </c>
      <c r="F507" s="40">
        <v>1</v>
      </c>
      <c r="G507" s="9">
        <v>100</v>
      </c>
      <c r="H507" s="10">
        <v>188</v>
      </c>
      <c r="I507" s="10">
        <f t="shared" si="23"/>
        <v>188</v>
      </c>
      <c r="J507" s="11"/>
      <c r="K507" s="11">
        <v>0</v>
      </c>
      <c r="L507" s="74">
        <f t="shared" si="24"/>
        <v>188</v>
      </c>
      <c r="M507" s="34">
        <f t="shared" si="25"/>
        <v>100</v>
      </c>
    </row>
    <row r="508" spans="1:13" ht="15" customHeight="1" x14ac:dyDescent="0.2">
      <c r="A508" s="30" t="s">
        <v>758</v>
      </c>
      <c r="B508" s="31" t="s">
        <v>69</v>
      </c>
      <c r="C508" s="8"/>
      <c r="D508" s="32"/>
      <c r="E508" s="32" t="s">
        <v>248</v>
      </c>
      <c r="F508" s="40">
        <v>1</v>
      </c>
      <c r="G508" s="9">
        <v>32.5</v>
      </c>
      <c r="H508" s="10">
        <v>60</v>
      </c>
      <c r="I508" s="10">
        <f t="shared" si="23"/>
        <v>60</v>
      </c>
      <c r="J508" s="11"/>
      <c r="K508" s="11">
        <v>0</v>
      </c>
      <c r="L508" s="74">
        <f t="shared" si="24"/>
        <v>60</v>
      </c>
      <c r="M508" s="34">
        <f t="shared" si="25"/>
        <v>32.5</v>
      </c>
    </row>
    <row r="509" spans="1:13" ht="15" customHeight="1" x14ac:dyDescent="0.2">
      <c r="A509" s="30" t="s">
        <v>758</v>
      </c>
      <c r="B509" s="31" t="s">
        <v>54</v>
      </c>
      <c r="C509" s="8"/>
      <c r="D509" s="32"/>
      <c r="E509" s="32" t="s">
        <v>233</v>
      </c>
      <c r="F509" s="40">
        <v>1</v>
      </c>
      <c r="G509" s="9">
        <v>115.7</v>
      </c>
      <c r="H509" s="10">
        <v>188</v>
      </c>
      <c r="I509" s="10">
        <f t="shared" si="23"/>
        <v>188</v>
      </c>
      <c r="J509" s="11"/>
      <c r="K509" s="11">
        <v>0</v>
      </c>
      <c r="L509" s="74">
        <f t="shared" si="24"/>
        <v>188</v>
      </c>
      <c r="M509" s="34">
        <f t="shared" si="25"/>
        <v>115.7</v>
      </c>
    </row>
    <row r="510" spans="1:13" ht="15" customHeight="1" x14ac:dyDescent="0.2">
      <c r="A510" s="30" t="s">
        <v>758</v>
      </c>
      <c r="B510" s="31" t="s">
        <v>47</v>
      </c>
      <c r="C510" s="8"/>
      <c r="D510" s="32"/>
      <c r="E510" s="32" t="s">
        <v>226</v>
      </c>
      <c r="F510" s="40">
        <v>1</v>
      </c>
      <c r="G510" s="9">
        <v>115.7</v>
      </c>
      <c r="H510" s="10">
        <v>188</v>
      </c>
      <c r="I510" s="10">
        <f t="shared" si="23"/>
        <v>188</v>
      </c>
      <c r="J510" s="11"/>
      <c r="K510" s="11">
        <v>0</v>
      </c>
      <c r="L510" s="74">
        <f t="shared" si="24"/>
        <v>188</v>
      </c>
      <c r="M510" s="34">
        <f t="shared" si="25"/>
        <v>115.7</v>
      </c>
    </row>
    <row r="511" spans="1:13" ht="15" customHeight="1" x14ac:dyDescent="0.2">
      <c r="A511" s="30" t="s">
        <v>758</v>
      </c>
      <c r="B511" s="31" t="s">
        <v>79</v>
      </c>
      <c r="C511" s="8"/>
      <c r="D511" s="32"/>
      <c r="E511" s="32" t="s">
        <v>258</v>
      </c>
      <c r="F511" s="40">
        <v>1</v>
      </c>
      <c r="G511" s="9">
        <v>122.2</v>
      </c>
      <c r="H511" s="10">
        <v>228</v>
      </c>
      <c r="I511" s="10">
        <f t="shared" si="23"/>
        <v>228</v>
      </c>
      <c r="J511" s="11"/>
      <c r="K511" s="11">
        <v>0</v>
      </c>
      <c r="L511" s="74">
        <f t="shared" si="24"/>
        <v>228</v>
      </c>
      <c r="M511" s="34">
        <f t="shared" si="25"/>
        <v>122.2</v>
      </c>
    </row>
    <row r="512" spans="1:13" ht="15" customHeight="1" x14ac:dyDescent="0.2">
      <c r="A512" s="30" t="s">
        <v>758</v>
      </c>
      <c r="B512" s="31" t="s">
        <v>761</v>
      </c>
      <c r="C512" s="8"/>
      <c r="D512" s="32"/>
      <c r="E512" s="32" t="s">
        <v>787</v>
      </c>
      <c r="F512" s="40">
        <v>55</v>
      </c>
      <c r="G512" s="9">
        <v>35</v>
      </c>
      <c r="H512" s="10">
        <v>50</v>
      </c>
      <c r="I512" s="10">
        <f t="shared" si="23"/>
        <v>2750</v>
      </c>
      <c r="J512" s="11"/>
      <c r="K512" s="11">
        <v>0</v>
      </c>
      <c r="L512" s="74">
        <f t="shared" si="24"/>
        <v>2750</v>
      </c>
      <c r="M512" s="34">
        <f t="shared" si="25"/>
        <v>1925</v>
      </c>
    </row>
    <row r="513" spans="1:13" ht="15" customHeight="1" x14ac:dyDescent="0.2">
      <c r="A513" s="30" t="s">
        <v>758</v>
      </c>
      <c r="B513" s="31" t="s">
        <v>762</v>
      </c>
      <c r="C513" s="8"/>
      <c r="D513" s="32"/>
      <c r="E513" s="32" t="s">
        <v>788</v>
      </c>
      <c r="F513" s="40">
        <v>6</v>
      </c>
      <c r="G513" s="9">
        <v>93</v>
      </c>
      <c r="H513" s="10">
        <v>130</v>
      </c>
      <c r="I513" s="10">
        <f t="shared" si="23"/>
        <v>780</v>
      </c>
      <c r="J513" s="11"/>
      <c r="K513" s="11">
        <v>0</v>
      </c>
      <c r="L513" s="74">
        <f t="shared" si="24"/>
        <v>780</v>
      </c>
      <c r="M513" s="34">
        <f t="shared" si="25"/>
        <v>558</v>
      </c>
    </row>
    <row r="514" spans="1:13" ht="15" customHeight="1" x14ac:dyDescent="0.2">
      <c r="A514" s="30" t="s">
        <v>758</v>
      </c>
      <c r="B514" s="31" t="s">
        <v>82</v>
      </c>
      <c r="C514" s="8"/>
      <c r="D514" s="32"/>
      <c r="E514" s="32" t="s">
        <v>261</v>
      </c>
      <c r="F514" s="40">
        <v>4</v>
      </c>
      <c r="G514" s="9">
        <v>158</v>
      </c>
      <c r="H514" s="10">
        <v>258</v>
      </c>
      <c r="I514" s="10">
        <f t="shared" si="23"/>
        <v>1032</v>
      </c>
      <c r="J514" s="11"/>
      <c r="K514" s="11">
        <v>0</v>
      </c>
      <c r="L514" s="74">
        <f t="shared" si="24"/>
        <v>1032</v>
      </c>
      <c r="M514" s="34">
        <f t="shared" si="25"/>
        <v>632</v>
      </c>
    </row>
    <row r="515" spans="1:13" ht="15" customHeight="1" x14ac:dyDescent="0.2">
      <c r="A515" s="30" t="s">
        <v>758</v>
      </c>
      <c r="B515" s="31" t="s">
        <v>54</v>
      </c>
      <c r="C515" s="8"/>
      <c r="D515" s="32" t="s">
        <v>775</v>
      </c>
      <c r="E515" s="32" t="s">
        <v>233</v>
      </c>
      <c r="F515" s="40">
        <v>1</v>
      </c>
      <c r="G515" s="9">
        <v>115.7</v>
      </c>
      <c r="H515" s="10">
        <v>188</v>
      </c>
      <c r="I515" s="10">
        <f t="shared" si="23"/>
        <v>188</v>
      </c>
      <c r="J515" s="11"/>
      <c r="K515" s="11">
        <v>0</v>
      </c>
      <c r="L515" s="74">
        <f t="shared" si="24"/>
        <v>188</v>
      </c>
      <c r="M515" s="34">
        <f t="shared" si="25"/>
        <v>115.7</v>
      </c>
    </row>
    <row r="516" spans="1:13" ht="15" customHeight="1" x14ac:dyDescent="0.2">
      <c r="A516" s="30" t="s">
        <v>758</v>
      </c>
      <c r="B516" s="31" t="s">
        <v>121</v>
      </c>
      <c r="C516" s="8"/>
      <c r="D516" s="32"/>
      <c r="E516" s="32" t="s">
        <v>300</v>
      </c>
      <c r="F516" s="40">
        <v>1</v>
      </c>
      <c r="G516" s="9">
        <v>63.7</v>
      </c>
      <c r="H516" s="10">
        <v>98</v>
      </c>
      <c r="I516" s="10">
        <f t="shared" si="23"/>
        <v>98</v>
      </c>
      <c r="J516" s="11"/>
      <c r="K516" s="11">
        <v>0</v>
      </c>
      <c r="L516" s="74">
        <f t="shared" si="24"/>
        <v>98</v>
      </c>
      <c r="M516" s="34">
        <f t="shared" si="25"/>
        <v>63.7</v>
      </c>
    </row>
    <row r="517" spans="1:13" ht="15" customHeight="1" x14ac:dyDescent="0.2">
      <c r="A517" s="30" t="s">
        <v>758</v>
      </c>
      <c r="B517" s="31" t="s">
        <v>48</v>
      </c>
      <c r="C517" s="8"/>
      <c r="D517" s="32"/>
      <c r="E517" s="32" t="s">
        <v>227</v>
      </c>
      <c r="F517" s="40">
        <v>2</v>
      </c>
      <c r="G517" s="9">
        <v>13</v>
      </c>
      <c r="H517" s="10">
        <v>20</v>
      </c>
      <c r="I517" s="10">
        <f t="shared" si="23"/>
        <v>40</v>
      </c>
      <c r="J517" s="11"/>
      <c r="K517" s="11">
        <v>0</v>
      </c>
      <c r="L517" s="74">
        <f t="shared" si="24"/>
        <v>40</v>
      </c>
      <c r="M517" s="34">
        <f t="shared" si="25"/>
        <v>26</v>
      </c>
    </row>
    <row r="518" spans="1:13" ht="15" customHeight="1" x14ac:dyDescent="0.2">
      <c r="A518" s="30" t="s">
        <v>758</v>
      </c>
      <c r="B518" s="31" t="s">
        <v>51</v>
      </c>
      <c r="C518" s="8"/>
      <c r="D518" s="32"/>
      <c r="E518" s="32" t="s">
        <v>230</v>
      </c>
      <c r="F518" s="40">
        <v>1</v>
      </c>
      <c r="G518" s="9">
        <v>180</v>
      </c>
      <c r="H518" s="10">
        <v>228</v>
      </c>
      <c r="I518" s="10">
        <f t="shared" si="23"/>
        <v>228</v>
      </c>
      <c r="J518" s="11"/>
      <c r="K518" s="11">
        <v>0</v>
      </c>
      <c r="L518" s="74">
        <f t="shared" si="24"/>
        <v>228</v>
      </c>
      <c r="M518" s="34">
        <f t="shared" si="25"/>
        <v>180</v>
      </c>
    </row>
    <row r="519" spans="1:13" ht="15" customHeight="1" x14ac:dyDescent="0.2">
      <c r="A519" s="30" t="s">
        <v>758</v>
      </c>
      <c r="B519" s="31" t="s">
        <v>97</v>
      </c>
      <c r="C519" s="8"/>
      <c r="D519" s="32"/>
      <c r="E519" s="32" t="s">
        <v>276</v>
      </c>
      <c r="F519" s="40">
        <v>1</v>
      </c>
      <c r="G519" s="9">
        <v>172</v>
      </c>
      <c r="H519" s="10">
        <v>228</v>
      </c>
      <c r="I519" s="10">
        <f t="shared" si="23"/>
        <v>228</v>
      </c>
      <c r="J519" s="11"/>
      <c r="K519" s="11">
        <v>13</v>
      </c>
      <c r="L519" s="74">
        <f t="shared" si="24"/>
        <v>215</v>
      </c>
      <c r="M519" s="34">
        <f t="shared" si="25"/>
        <v>172</v>
      </c>
    </row>
    <row r="520" spans="1:13" ht="15" customHeight="1" x14ac:dyDescent="0.2">
      <c r="A520" s="30" t="s">
        <v>758</v>
      </c>
      <c r="B520" s="31" t="s">
        <v>60</v>
      </c>
      <c r="C520" s="8"/>
      <c r="D520" s="32" t="s">
        <v>776</v>
      </c>
      <c r="E520" s="32" t="s">
        <v>239</v>
      </c>
      <c r="F520" s="40">
        <v>1</v>
      </c>
      <c r="G520" s="9">
        <v>100</v>
      </c>
      <c r="H520" s="10">
        <v>188</v>
      </c>
      <c r="I520" s="10">
        <f t="shared" si="23"/>
        <v>188</v>
      </c>
      <c r="J520" s="11"/>
      <c r="K520" s="11">
        <v>0</v>
      </c>
      <c r="L520" s="74">
        <f t="shared" si="24"/>
        <v>188</v>
      </c>
      <c r="M520" s="34">
        <f t="shared" si="25"/>
        <v>100</v>
      </c>
    </row>
    <row r="521" spans="1:13" ht="15" customHeight="1" x14ac:dyDescent="0.2">
      <c r="A521" s="30" t="s">
        <v>758</v>
      </c>
      <c r="B521" s="31" t="s">
        <v>50</v>
      </c>
      <c r="C521" s="8"/>
      <c r="D521" s="32"/>
      <c r="E521" s="32" t="s">
        <v>229</v>
      </c>
      <c r="F521" s="40">
        <v>2</v>
      </c>
      <c r="G521" s="9">
        <v>44.2</v>
      </c>
      <c r="H521" s="10">
        <v>78</v>
      </c>
      <c r="I521" s="10">
        <f t="shared" si="23"/>
        <v>156</v>
      </c>
      <c r="J521" s="11"/>
      <c r="K521" s="11">
        <v>0</v>
      </c>
      <c r="L521" s="74">
        <f t="shared" si="24"/>
        <v>156</v>
      </c>
      <c r="M521" s="34">
        <f t="shared" si="25"/>
        <v>88.4</v>
      </c>
    </row>
    <row r="522" spans="1:13" ht="15" customHeight="1" x14ac:dyDescent="0.2">
      <c r="A522" s="30" t="s">
        <v>758</v>
      </c>
      <c r="B522" s="31" t="s">
        <v>48</v>
      </c>
      <c r="C522" s="8"/>
      <c r="D522" s="32"/>
      <c r="E522" s="32" t="s">
        <v>227</v>
      </c>
      <c r="F522" s="40">
        <v>2</v>
      </c>
      <c r="G522" s="9">
        <v>13</v>
      </c>
      <c r="H522" s="10">
        <v>20</v>
      </c>
      <c r="I522" s="10">
        <f t="shared" si="23"/>
        <v>40</v>
      </c>
      <c r="J522" s="11"/>
      <c r="K522" s="11">
        <v>0</v>
      </c>
      <c r="L522" s="74">
        <f t="shared" si="24"/>
        <v>40</v>
      </c>
      <c r="M522" s="34">
        <f t="shared" si="25"/>
        <v>26</v>
      </c>
    </row>
    <row r="523" spans="1:13" ht="15" customHeight="1" x14ac:dyDescent="0.2">
      <c r="A523" s="30" t="s">
        <v>758</v>
      </c>
      <c r="B523" s="31" t="s">
        <v>63</v>
      </c>
      <c r="C523" s="8"/>
      <c r="D523" s="32"/>
      <c r="E523" s="32" t="s">
        <v>242</v>
      </c>
      <c r="F523" s="40">
        <v>1</v>
      </c>
      <c r="G523" s="9">
        <v>5</v>
      </c>
      <c r="H523" s="10">
        <v>10</v>
      </c>
      <c r="I523" s="10">
        <f t="shared" si="23"/>
        <v>10</v>
      </c>
      <c r="J523" s="11"/>
      <c r="K523" s="11">
        <v>0</v>
      </c>
      <c r="L523" s="74">
        <f t="shared" si="24"/>
        <v>10</v>
      </c>
      <c r="M523" s="34">
        <f t="shared" si="25"/>
        <v>5</v>
      </c>
    </row>
    <row r="524" spans="1:13" ht="15" customHeight="1" x14ac:dyDescent="0.2">
      <c r="A524" s="30" t="s">
        <v>758</v>
      </c>
      <c r="B524" s="31" t="s">
        <v>77</v>
      </c>
      <c r="C524" s="8"/>
      <c r="D524" s="32"/>
      <c r="E524" s="32" t="s">
        <v>256</v>
      </c>
      <c r="F524" s="40">
        <v>1</v>
      </c>
      <c r="G524" s="9">
        <v>102.7</v>
      </c>
      <c r="H524" s="10">
        <v>248</v>
      </c>
      <c r="I524" s="10">
        <f t="shared" si="23"/>
        <v>248</v>
      </c>
      <c r="J524" s="11"/>
      <c r="K524" s="11">
        <v>32</v>
      </c>
      <c r="L524" s="74">
        <f t="shared" si="24"/>
        <v>216</v>
      </c>
      <c r="M524" s="34">
        <f t="shared" si="25"/>
        <v>102.7</v>
      </c>
    </row>
    <row r="525" spans="1:13" ht="15" customHeight="1" x14ac:dyDescent="0.2">
      <c r="A525" s="30" t="s">
        <v>758</v>
      </c>
      <c r="B525" s="31" t="s">
        <v>65</v>
      </c>
      <c r="C525" s="8"/>
      <c r="D525" s="32" t="s">
        <v>777</v>
      </c>
      <c r="E525" s="32" t="s">
        <v>244</v>
      </c>
      <c r="F525" s="40">
        <v>1</v>
      </c>
      <c r="G525" s="9">
        <v>65</v>
      </c>
      <c r="H525" s="10">
        <v>128</v>
      </c>
      <c r="I525" s="10">
        <f t="shared" si="23"/>
        <v>128</v>
      </c>
      <c r="J525" s="11"/>
      <c r="K525" s="11">
        <v>0</v>
      </c>
      <c r="L525" s="74">
        <f t="shared" si="24"/>
        <v>128</v>
      </c>
      <c r="M525" s="34">
        <f t="shared" si="25"/>
        <v>65</v>
      </c>
    </row>
    <row r="526" spans="1:13" ht="15" customHeight="1" x14ac:dyDescent="0.2">
      <c r="A526" s="30" t="s">
        <v>758</v>
      </c>
      <c r="B526" s="31" t="s">
        <v>100</v>
      </c>
      <c r="C526" s="8"/>
      <c r="D526" s="32" t="s">
        <v>778</v>
      </c>
      <c r="E526" s="32" t="s">
        <v>279</v>
      </c>
      <c r="F526" s="40">
        <v>1</v>
      </c>
      <c r="G526" s="9">
        <v>291.20999999999998</v>
      </c>
      <c r="H526" s="10">
        <v>448</v>
      </c>
      <c r="I526" s="10">
        <f t="shared" si="23"/>
        <v>448</v>
      </c>
      <c r="J526" s="11"/>
      <c r="K526" s="11">
        <v>0</v>
      </c>
      <c r="L526" s="74">
        <f t="shared" si="24"/>
        <v>448</v>
      </c>
      <c r="M526" s="34">
        <f t="shared" si="25"/>
        <v>291.20999999999998</v>
      </c>
    </row>
    <row r="527" spans="1:13" ht="15" customHeight="1" x14ac:dyDescent="0.2">
      <c r="A527" s="30" t="s">
        <v>758</v>
      </c>
      <c r="B527" s="31" t="s">
        <v>92</v>
      </c>
      <c r="C527" s="8"/>
      <c r="D527" s="32" t="s">
        <v>779</v>
      </c>
      <c r="E527" s="32" t="s">
        <v>271</v>
      </c>
      <c r="F527" s="40">
        <v>1</v>
      </c>
      <c r="G527" s="9">
        <v>388.7</v>
      </c>
      <c r="H527" s="10">
        <v>598</v>
      </c>
      <c r="I527" s="10">
        <f t="shared" si="23"/>
        <v>598</v>
      </c>
      <c r="J527" s="11"/>
      <c r="K527" s="11">
        <v>0</v>
      </c>
      <c r="L527" s="74">
        <f t="shared" si="24"/>
        <v>598</v>
      </c>
      <c r="M527" s="34">
        <f t="shared" si="25"/>
        <v>388.7</v>
      </c>
    </row>
    <row r="528" spans="1:13" ht="15" customHeight="1" x14ac:dyDescent="0.2">
      <c r="A528" s="30" t="s">
        <v>758</v>
      </c>
      <c r="B528" s="31" t="s">
        <v>61</v>
      </c>
      <c r="C528" s="8"/>
      <c r="D528" s="32"/>
      <c r="E528" s="32" t="s">
        <v>240</v>
      </c>
      <c r="F528" s="40">
        <v>2</v>
      </c>
      <c r="G528" s="9">
        <v>323.7</v>
      </c>
      <c r="H528" s="10">
        <v>698</v>
      </c>
      <c r="I528" s="10">
        <f t="shared" si="23"/>
        <v>1396</v>
      </c>
      <c r="J528" s="11"/>
      <c r="K528" s="11">
        <v>0</v>
      </c>
      <c r="L528" s="74">
        <f t="shared" si="24"/>
        <v>1396</v>
      </c>
      <c r="M528" s="34">
        <f t="shared" si="25"/>
        <v>647.4</v>
      </c>
    </row>
    <row r="529" spans="1:13" ht="15" customHeight="1" x14ac:dyDescent="0.2">
      <c r="A529" s="30" t="s">
        <v>758</v>
      </c>
      <c r="B529" s="31" t="s">
        <v>60</v>
      </c>
      <c r="C529" s="8"/>
      <c r="D529" s="32"/>
      <c r="E529" s="32" t="s">
        <v>239</v>
      </c>
      <c r="F529" s="40">
        <v>2</v>
      </c>
      <c r="G529" s="9">
        <v>100</v>
      </c>
      <c r="H529" s="10">
        <v>188</v>
      </c>
      <c r="I529" s="10">
        <f t="shared" si="23"/>
        <v>376</v>
      </c>
      <c r="J529" s="11"/>
      <c r="K529" s="11">
        <v>0</v>
      </c>
      <c r="L529" s="74">
        <f t="shared" si="24"/>
        <v>376</v>
      </c>
      <c r="M529" s="34">
        <f t="shared" si="25"/>
        <v>200</v>
      </c>
    </row>
    <row r="530" spans="1:13" ht="15" customHeight="1" x14ac:dyDescent="0.2">
      <c r="A530" s="30" t="s">
        <v>758</v>
      </c>
      <c r="B530" s="31" t="s">
        <v>543</v>
      </c>
      <c r="C530" s="8"/>
      <c r="D530" s="32" t="s">
        <v>780</v>
      </c>
      <c r="E530" s="32" t="s">
        <v>552</v>
      </c>
      <c r="F530" s="40">
        <v>1</v>
      </c>
      <c r="G530" s="9">
        <v>78</v>
      </c>
      <c r="H530" s="10">
        <v>128</v>
      </c>
      <c r="I530" s="10">
        <f t="shared" si="23"/>
        <v>128</v>
      </c>
      <c r="J530" s="11"/>
      <c r="K530" s="11">
        <v>0</v>
      </c>
      <c r="L530" s="74">
        <f t="shared" si="24"/>
        <v>128</v>
      </c>
      <c r="M530" s="34">
        <f t="shared" si="25"/>
        <v>78</v>
      </c>
    </row>
    <row r="531" spans="1:13" ht="15" customHeight="1" x14ac:dyDescent="0.2">
      <c r="A531" s="30" t="s">
        <v>758</v>
      </c>
      <c r="B531" s="31" t="s">
        <v>84</v>
      </c>
      <c r="C531" s="8"/>
      <c r="D531" s="32"/>
      <c r="E531" s="32" t="s">
        <v>263</v>
      </c>
      <c r="F531" s="40">
        <v>1</v>
      </c>
      <c r="G531" s="9">
        <v>58</v>
      </c>
      <c r="H531" s="10">
        <v>78</v>
      </c>
      <c r="I531" s="10">
        <f t="shared" si="23"/>
        <v>78</v>
      </c>
      <c r="J531" s="11"/>
      <c r="K531" s="11">
        <v>0</v>
      </c>
      <c r="L531" s="74">
        <f t="shared" si="24"/>
        <v>78</v>
      </c>
      <c r="M531" s="34">
        <f t="shared" si="25"/>
        <v>58</v>
      </c>
    </row>
    <row r="532" spans="1:13" ht="15" customHeight="1" x14ac:dyDescent="0.2">
      <c r="A532" s="30" t="s">
        <v>758</v>
      </c>
      <c r="B532" s="31" t="s">
        <v>72</v>
      </c>
      <c r="C532" s="8"/>
      <c r="D532" s="32"/>
      <c r="E532" s="32" t="s">
        <v>251</v>
      </c>
      <c r="F532" s="40">
        <v>1</v>
      </c>
      <c r="G532" s="9">
        <v>83.2</v>
      </c>
      <c r="H532" s="10">
        <v>128</v>
      </c>
      <c r="I532" s="10">
        <f t="shared" si="23"/>
        <v>128</v>
      </c>
      <c r="J532" s="11"/>
      <c r="K532" s="11">
        <v>0</v>
      </c>
      <c r="L532" s="74">
        <f t="shared" si="24"/>
        <v>128</v>
      </c>
      <c r="M532" s="34">
        <f t="shared" si="25"/>
        <v>83.2</v>
      </c>
    </row>
    <row r="533" spans="1:13" ht="15" customHeight="1" x14ac:dyDescent="0.2">
      <c r="A533" s="30" t="s">
        <v>758</v>
      </c>
      <c r="B533" s="31" t="s">
        <v>763</v>
      </c>
      <c r="C533" s="8"/>
      <c r="D533" s="32"/>
      <c r="E533" s="32" t="s">
        <v>789</v>
      </c>
      <c r="F533" s="40">
        <v>1</v>
      </c>
      <c r="G533" s="9">
        <v>230</v>
      </c>
      <c r="H533" s="10">
        <v>298</v>
      </c>
      <c r="I533" s="10">
        <f t="shared" ref="I533:I549" si="26">F533*H533</f>
        <v>298</v>
      </c>
      <c r="J533" s="11"/>
      <c r="K533" s="11">
        <v>0</v>
      </c>
      <c r="L533" s="74">
        <f t="shared" ref="L533:L549" si="27">I533-K533</f>
        <v>298</v>
      </c>
      <c r="M533" s="34">
        <f t="shared" si="25"/>
        <v>230</v>
      </c>
    </row>
    <row r="534" spans="1:13" ht="15" customHeight="1" x14ac:dyDescent="0.2">
      <c r="A534" s="30" t="s">
        <v>758</v>
      </c>
      <c r="B534" s="31" t="s">
        <v>483</v>
      </c>
      <c r="C534" s="8"/>
      <c r="D534" s="32"/>
      <c r="E534" s="32" t="s">
        <v>518</v>
      </c>
      <c r="F534" s="40">
        <v>1</v>
      </c>
      <c r="G534" s="9">
        <v>11.7</v>
      </c>
      <c r="H534" s="10">
        <v>28</v>
      </c>
      <c r="I534" s="10">
        <f t="shared" si="26"/>
        <v>28</v>
      </c>
      <c r="J534" s="11"/>
      <c r="K534" s="11">
        <v>0</v>
      </c>
      <c r="L534" s="74">
        <f t="shared" si="27"/>
        <v>28</v>
      </c>
      <c r="M534" s="34">
        <f t="shared" si="25"/>
        <v>11.7</v>
      </c>
    </row>
    <row r="535" spans="1:13" ht="15" customHeight="1" x14ac:dyDescent="0.2">
      <c r="A535" s="30" t="s">
        <v>758</v>
      </c>
      <c r="B535" s="31" t="s">
        <v>63</v>
      </c>
      <c r="C535" s="8"/>
      <c r="D535" s="32"/>
      <c r="E535" s="32" t="s">
        <v>242</v>
      </c>
      <c r="F535" s="40">
        <v>1</v>
      </c>
      <c r="G535" s="9">
        <v>5</v>
      </c>
      <c r="H535" s="10">
        <v>10</v>
      </c>
      <c r="I535" s="10">
        <f t="shared" si="26"/>
        <v>10</v>
      </c>
      <c r="J535" s="11"/>
      <c r="K535" s="11">
        <v>0</v>
      </c>
      <c r="L535" s="74">
        <f t="shared" si="27"/>
        <v>10</v>
      </c>
      <c r="M535" s="34">
        <f t="shared" si="25"/>
        <v>5</v>
      </c>
    </row>
    <row r="536" spans="1:13" ht="15" customHeight="1" x14ac:dyDescent="0.2">
      <c r="A536" s="30" t="s">
        <v>758</v>
      </c>
      <c r="B536" s="31" t="s">
        <v>60</v>
      </c>
      <c r="C536" s="8"/>
      <c r="D536" s="32" t="s">
        <v>781</v>
      </c>
      <c r="E536" s="32" t="s">
        <v>239</v>
      </c>
      <c r="F536" s="40">
        <v>1</v>
      </c>
      <c r="G536" s="9">
        <v>100</v>
      </c>
      <c r="H536" s="10">
        <v>188</v>
      </c>
      <c r="I536" s="10">
        <f t="shared" si="26"/>
        <v>188</v>
      </c>
      <c r="J536" s="11"/>
      <c r="K536" s="11">
        <v>0</v>
      </c>
      <c r="L536" s="74">
        <f t="shared" si="27"/>
        <v>188</v>
      </c>
      <c r="M536" s="34">
        <f t="shared" si="25"/>
        <v>100</v>
      </c>
    </row>
    <row r="537" spans="1:13" ht="15" customHeight="1" x14ac:dyDescent="0.2">
      <c r="A537" s="30" t="s">
        <v>758</v>
      </c>
      <c r="B537" s="31" t="s">
        <v>48</v>
      </c>
      <c r="C537" s="8"/>
      <c r="D537" s="32"/>
      <c r="E537" s="32" t="s">
        <v>227</v>
      </c>
      <c r="F537" s="40">
        <v>1</v>
      </c>
      <c r="G537" s="9">
        <v>13</v>
      </c>
      <c r="H537" s="10">
        <v>20</v>
      </c>
      <c r="I537" s="10">
        <f t="shared" si="26"/>
        <v>20</v>
      </c>
      <c r="J537" s="11"/>
      <c r="K537" s="11">
        <v>0</v>
      </c>
      <c r="L537" s="74">
        <f t="shared" si="27"/>
        <v>20</v>
      </c>
      <c r="M537" s="34">
        <f t="shared" si="25"/>
        <v>13</v>
      </c>
    </row>
    <row r="538" spans="1:13" ht="15" customHeight="1" x14ac:dyDescent="0.2">
      <c r="A538" s="30" t="s">
        <v>758</v>
      </c>
      <c r="B538" s="31" t="s">
        <v>77</v>
      </c>
      <c r="C538" s="8"/>
      <c r="D538" s="32" t="s">
        <v>782</v>
      </c>
      <c r="E538" s="32" t="s">
        <v>256</v>
      </c>
      <c r="F538" s="40">
        <v>1</v>
      </c>
      <c r="G538" s="9">
        <v>102.7</v>
      </c>
      <c r="H538" s="10">
        <v>248</v>
      </c>
      <c r="I538" s="10">
        <f t="shared" si="26"/>
        <v>248</v>
      </c>
      <c r="J538" s="11"/>
      <c r="K538" s="11">
        <v>0</v>
      </c>
      <c r="L538" s="74">
        <f t="shared" si="27"/>
        <v>248</v>
      </c>
      <c r="M538" s="34">
        <f t="shared" si="25"/>
        <v>102.7</v>
      </c>
    </row>
    <row r="539" spans="1:13" ht="15" customHeight="1" x14ac:dyDescent="0.2">
      <c r="A539" s="30" t="s">
        <v>758</v>
      </c>
      <c r="B539" s="31" t="s">
        <v>112</v>
      </c>
      <c r="C539" s="8"/>
      <c r="D539" s="32" t="s">
        <v>783</v>
      </c>
      <c r="E539" s="32" t="s">
        <v>291</v>
      </c>
      <c r="F539" s="40">
        <v>1</v>
      </c>
      <c r="G539" s="9">
        <v>58</v>
      </c>
      <c r="H539" s="10">
        <v>78</v>
      </c>
      <c r="I539" s="10">
        <f t="shared" si="26"/>
        <v>78</v>
      </c>
      <c r="J539" s="11"/>
      <c r="K539" s="11">
        <v>0</v>
      </c>
      <c r="L539" s="74">
        <f t="shared" si="27"/>
        <v>78</v>
      </c>
      <c r="M539" s="34">
        <f t="shared" ref="M539:M600" si="28">F539*G539</f>
        <v>58</v>
      </c>
    </row>
    <row r="540" spans="1:13" ht="15" customHeight="1" x14ac:dyDescent="0.2">
      <c r="A540" s="30" t="s">
        <v>758</v>
      </c>
      <c r="B540" s="31" t="s">
        <v>50</v>
      </c>
      <c r="C540" s="8"/>
      <c r="D540" s="32"/>
      <c r="E540" s="32" t="s">
        <v>229</v>
      </c>
      <c r="F540" s="40">
        <v>1</v>
      </c>
      <c r="G540" s="9">
        <v>44.2</v>
      </c>
      <c r="H540" s="10">
        <v>78</v>
      </c>
      <c r="I540" s="10">
        <f t="shared" si="26"/>
        <v>78</v>
      </c>
      <c r="J540" s="11"/>
      <c r="K540" s="11">
        <v>0</v>
      </c>
      <c r="L540" s="74">
        <f t="shared" si="27"/>
        <v>78</v>
      </c>
      <c r="M540" s="34">
        <f t="shared" si="28"/>
        <v>44.2</v>
      </c>
    </row>
    <row r="541" spans="1:13" ht="15" customHeight="1" x14ac:dyDescent="0.2">
      <c r="A541" s="30" t="s">
        <v>758</v>
      </c>
      <c r="B541" s="31" t="s">
        <v>104</v>
      </c>
      <c r="C541" s="8"/>
      <c r="D541" s="32"/>
      <c r="E541" s="32" t="s">
        <v>283</v>
      </c>
      <c r="F541" s="40">
        <v>1</v>
      </c>
      <c r="G541" s="9">
        <v>28</v>
      </c>
      <c r="H541" s="10">
        <v>48</v>
      </c>
      <c r="I541" s="10">
        <f t="shared" si="26"/>
        <v>48</v>
      </c>
      <c r="J541" s="11"/>
      <c r="K541" s="11">
        <v>0</v>
      </c>
      <c r="L541" s="74">
        <f t="shared" si="27"/>
        <v>48</v>
      </c>
      <c r="M541" s="34">
        <f t="shared" si="28"/>
        <v>28</v>
      </c>
    </row>
    <row r="542" spans="1:13" ht="15" customHeight="1" x14ac:dyDescent="0.2">
      <c r="A542" s="30" t="s">
        <v>758</v>
      </c>
      <c r="B542" s="31" t="s">
        <v>63</v>
      </c>
      <c r="C542" s="8"/>
      <c r="D542" s="32"/>
      <c r="E542" s="32" t="s">
        <v>242</v>
      </c>
      <c r="F542" s="40">
        <v>2</v>
      </c>
      <c r="G542" s="9">
        <v>5</v>
      </c>
      <c r="H542" s="10">
        <v>10</v>
      </c>
      <c r="I542" s="10">
        <f t="shared" si="26"/>
        <v>20</v>
      </c>
      <c r="J542" s="11"/>
      <c r="K542" s="11">
        <v>0</v>
      </c>
      <c r="L542" s="74">
        <f t="shared" si="27"/>
        <v>20</v>
      </c>
      <c r="M542" s="34">
        <f t="shared" si="28"/>
        <v>10</v>
      </c>
    </row>
    <row r="543" spans="1:13" ht="15" customHeight="1" x14ac:dyDescent="0.2">
      <c r="A543" s="30" t="s">
        <v>758</v>
      </c>
      <c r="B543" s="31" t="s">
        <v>77</v>
      </c>
      <c r="C543" s="8"/>
      <c r="D543" s="32" t="s">
        <v>784</v>
      </c>
      <c r="E543" s="32" t="s">
        <v>256</v>
      </c>
      <c r="F543" s="40">
        <v>1</v>
      </c>
      <c r="G543" s="9">
        <v>102.7</v>
      </c>
      <c r="H543" s="10">
        <v>248</v>
      </c>
      <c r="I543" s="10">
        <f t="shared" si="26"/>
        <v>248</v>
      </c>
      <c r="J543" s="11"/>
      <c r="K543" s="11">
        <v>0</v>
      </c>
      <c r="L543" s="74">
        <f t="shared" si="27"/>
        <v>248</v>
      </c>
      <c r="M543" s="34">
        <f t="shared" si="28"/>
        <v>102.7</v>
      </c>
    </row>
    <row r="544" spans="1:13" ht="15" customHeight="1" x14ac:dyDescent="0.2">
      <c r="A544" s="30" t="s">
        <v>758</v>
      </c>
      <c r="B544" s="31" t="s">
        <v>55</v>
      </c>
      <c r="C544" s="8"/>
      <c r="D544" s="32"/>
      <c r="E544" s="32" t="s">
        <v>234</v>
      </c>
      <c r="F544" s="40">
        <v>1</v>
      </c>
      <c r="G544" s="9">
        <v>63.7</v>
      </c>
      <c r="H544" s="10">
        <v>228</v>
      </c>
      <c r="I544" s="10">
        <f t="shared" si="26"/>
        <v>228</v>
      </c>
      <c r="J544" s="11"/>
      <c r="K544" s="11">
        <v>0</v>
      </c>
      <c r="L544" s="74">
        <f t="shared" si="27"/>
        <v>228</v>
      </c>
      <c r="M544" s="34">
        <f t="shared" si="28"/>
        <v>63.7</v>
      </c>
    </row>
    <row r="545" spans="1:13" ht="15" customHeight="1" x14ac:dyDescent="0.2">
      <c r="A545" s="30" t="s">
        <v>758</v>
      </c>
      <c r="B545" s="31" t="s">
        <v>54</v>
      </c>
      <c r="C545" s="8"/>
      <c r="D545" s="32"/>
      <c r="E545" s="32" t="s">
        <v>233</v>
      </c>
      <c r="F545" s="40">
        <v>1</v>
      </c>
      <c r="G545" s="9">
        <v>115.7</v>
      </c>
      <c r="H545" s="10">
        <v>188</v>
      </c>
      <c r="I545" s="10">
        <f t="shared" si="26"/>
        <v>188</v>
      </c>
      <c r="J545" s="11"/>
      <c r="K545" s="11">
        <v>0</v>
      </c>
      <c r="L545" s="74">
        <f t="shared" si="27"/>
        <v>188</v>
      </c>
      <c r="M545" s="34">
        <f t="shared" si="28"/>
        <v>115.7</v>
      </c>
    </row>
    <row r="546" spans="1:13" ht="15" customHeight="1" x14ac:dyDescent="0.2">
      <c r="A546" s="30" t="s">
        <v>758</v>
      </c>
      <c r="B546" s="31" t="s">
        <v>97</v>
      </c>
      <c r="C546" s="8"/>
      <c r="D546" s="32"/>
      <c r="E546" s="32" t="s">
        <v>276</v>
      </c>
      <c r="F546" s="40">
        <v>1</v>
      </c>
      <c r="G546" s="9">
        <v>172</v>
      </c>
      <c r="H546" s="10">
        <v>228</v>
      </c>
      <c r="I546" s="10">
        <f t="shared" si="26"/>
        <v>228</v>
      </c>
      <c r="J546" s="11"/>
      <c r="K546" s="11">
        <v>0</v>
      </c>
      <c r="L546" s="74">
        <f t="shared" si="27"/>
        <v>228</v>
      </c>
      <c r="M546" s="34">
        <f t="shared" si="28"/>
        <v>172</v>
      </c>
    </row>
    <row r="547" spans="1:13" ht="15" customHeight="1" x14ac:dyDescent="0.2">
      <c r="A547" s="30" t="s">
        <v>758</v>
      </c>
      <c r="B547" s="31" t="s">
        <v>52</v>
      </c>
      <c r="C547" s="8"/>
      <c r="D547" s="32"/>
      <c r="E547" s="32" t="s">
        <v>231</v>
      </c>
      <c r="F547" s="40">
        <v>1</v>
      </c>
      <c r="G547" s="9">
        <v>158</v>
      </c>
      <c r="H547" s="10">
        <v>228</v>
      </c>
      <c r="I547" s="10">
        <f t="shared" si="26"/>
        <v>228</v>
      </c>
      <c r="J547" s="11"/>
      <c r="K547" s="11">
        <v>0</v>
      </c>
      <c r="L547" s="74">
        <f t="shared" si="27"/>
        <v>228</v>
      </c>
      <c r="M547" s="34">
        <f t="shared" si="28"/>
        <v>158</v>
      </c>
    </row>
    <row r="548" spans="1:13" ht="15" customHeight="1" x14ac:dyDescent="0.2">
      <c r="A548" s="30" t="s">
        <v>758</v>
      </c>
      <c r="B548" s="31" t="s">
        <v>48</v>
      </c>
      <c r="C548" s="8"/>
      <c r="D548" s="32"/>
      <c r="E548" s="32" t="s">
        <v>227</v>
      </c>
      <c r="F548" s="40">
        <v>9</v>
      </c>
      <c r="G548" s="9">
        <v>13</v>
      </c>
      <c r="H548" s="10">
        <v>20</v>
      </c>
      <c r="I548" s="10">
        <f t="shared" si="26"/>
        <v>180</v>
      </c>
      <c r="J548" s="11"/>
      <c r="K548" s="11">
        <v>0</v>
      </c>
      <c r="L548" s="74">
        <f t="shared" si="27"/>
        <v>180</v>
      </c>
      <c r="M548" s="34">
        <f>F548*G548</f>
        <v>117</v>
      </c>
    </row>
    <row r="549" spans="1:13" ht="15" customHeight="1" x14ac:dyDescent="0.2">
      <c r="A549" s="30" t="s">
        <v>758</v>
      </c>
      <c r="B549" s="31" t="s">
        <v>47</v>
      </c>
      <c r="C549" s="8"/>
      <c r="D549" s="32"/>
      <c r="E549" s="32" t="s">
        <v>226</v>
      </c>
      <c r="F549" s="40">
        <v>1</v>
      </c>
      <c r="G549" s="9">
        <v>115.7</v>
      </c>
      <c r="H549" s="10">
        <v>188</v>
      </c>
      <c r="I549" s="10">
        <f t="shared" si="26"/>
        <v>188</v>
      </c>
      <c r="J549" s="11"/>
      <c r="K549" s="11">
        <v>0</v>
      </c>
      <c r="L549" s="74">
        <f t="shared" si="27"/>
        <v>188</v>
      </c>
      <c r="M549" s="34">
        <f t="shared" si="28"/>
        <v>115.7</v>
      </c>
    </row>
    <row r="550" spans="1:13" ht="15" customHeight="1" x14ac:dyDescent="0.2">
      <c r="A550" s="30" t="s">
        <v>817</v>
      </c>
      <c r="B550" s="31" t="s">
        <v>65</v>
      </c>
      <c r="C550" s="8"/>
      <c r="D550" s="32" t="s">
        <v>818</v>
      </c>
      <c r="E550" s="32" t="s">
        <v>244</v>
      </c>
      <c r="F550" s="40">
        <v>2</v>
      </c>
      <c r="G550" s="9">
        <v>65</v>
      </c>
      <c r="H550" s="10">
        <v>128</v>
      </c>
      <c r="I550" s="10">
        <f t="shared" ref="I550:I613" si="29">F550*H550</f>
        <v>256</v>
      </c>
      <c r="J550" s="11"/>
      <c r="K550" s="11">
        <v>0</v>
      </c>
      <c r="L550" s="74">
        <f t="shared" ref="L550:L613" si="30">I550-K550</f>
        <v>256</v>
      </c>
      <c r="M550" s="34">
        <f t="shared" si="28"/>
        <v>130</v>
      </c>
    </row>
    <row r="551" spans="1:13" ht="15" customHeight="1" x14ac:dyDescent="0.2">
      <c r="A551" s="30" t="s">
        <v>817</v>
      </c>
      <c r="B551" s="31" t="s">
        <v>80</v>
      </c>
      <c r="C551" s="8"/>
      <c r="D551" s="32"/>
      <c r="E551" s="32" t="s">
        <v>259</v>
      </c>
      <c r="F551" s="40">
        <v>1</v>
      </c>
      <c r="G551" s="9">
        <v>83.2</v>
      </c>
      <c r="H551" s="10">
        <v>128</v>
      </c>
      <c r="I551" s="10">
        <f t="shared" si="29"/>
        <v>128</v>
      </c>
      <c r="J551" s="11"/>
      <c r="K551" s="11">
        <v>0</v>
      </c>
      <c r="L551" s="74">
        <f t="shared" si="30"/>
        <v>128</v>
      </c>
      <c r="M551" s="34">
        <f t="shared" si="28"/>
        <v>83.2</v>
      </c>
    </row>
    <row r="552" spans="1:13" ht="15" customHeight="1" x14ac:dyDescent="0.2">
      <c r="A552" s="30" t="s">
        <v>817</v>
      </c>
      <c r="B552" s="31" t="s">
        <v>48</v>
      </c>
      <c r="C552" s="8"/>
      <c r="D552" s="32"/>
      <c r="E552" s="32" t="s">
        <v>227</v>
      </c>
      <c r="F552" s="40">
        <v>1</v>
      </c>
      <c r="G552" s="9">
        <v>13</v>
      </c>
      <c r="H552" s="10">
        <v>20</v>
      </c>
      <c r="I552" s="10">
        <f t="shared" si="29"/>
        <v>20</v>
      </c>
      <c r="J552" s="11"/>
      <c r="K552" s="11">
        <v>0</v>
      </c>
      <c r="L552" s="74">
        <f t="shared" si="30"/>
        <v>20</v>
      </c>
      <c r="M552" s="34">
        <f t="shared" ref="M552:M593" si="31">F552*G552</f>
        <v>13</v>
      </c>
    </row>
    <row r="553" spans="1:13" ht="15" customHeight="1" x14ac:dyDescent="0.2">
      <c r="A553" s="30" t="s">
        <v>817</v>
      </c>
      <c r="B553" s="31" t="s">
        <v>47</v>
      </c>
      <c r="C553" s="8"/>
      <c r="D553" s="32" t="s">
        <v>819</v>
      </c>
      <c r="E553" s="32" t="s">
        <v>226</v>
      </c>
      <c r="F553" s="40">
        <v>2</v>
      </c>
      <c r="G553" s="9">
        <v>115.7</v>
      </c>
      <c r="H553" s="10">
        <v>188</v>
      </c>
      <c r="I553" s="10">
        <f t="shared" si="29"/>
        <v>376</v>
      </c>
      <c r="J553" s="11"/>
      <c r="K553" s="11">
        <v>0</v>
      </c>
      <c r="L553" s="74">
        <f t="shared" si="30"/>
        <v>376</v>
      </c>
      <c r="M553" s="34">
        <f t="shared" si="31"/>
        <v>231.4</v>
      </c>
    </row>
    <row r="554" spans="1:13" ht="15" customHeight="1" x14ac:dyDescent="0.2">
      <c r="A554" s="30" t="s">
        <v>817</v>
      </c>
      <c r="B554" s="31" t="s">
        <v>77</v>
      </c>
      <c r="C554" s="8"/>
      <c r="D554" s="32"/>
      <c r="E554" s="32" t="s">
        <v>256</v>
      </c>
      <c r="F554" s="40">
        <v>2</v>
      </c>
      <c r="G554" s="9">
        <v>102.7</v>
      </c>
      <c r="H554" s="10">
        <v>248</v>
      </c>
      <c r="I554" s="10">
        <f t="shared" si="29"/>
        <v>496</v>
      </c>
      <c r="J554" s="11"/>
      <c r="K554" s="11">
        <v>0</v>
      </c>
      <c r="L554" s="74">
        <f t="shared" si="30"/>
        <v>496</v>
      </c>
      <c r="M554" s="34">
        <f t="shared" si="31"/>
        <v>205.4</v>
      </c>
    </row>
    <row r="555" spans="1:13" ht="15" customHeight="1" x14ac:dyDescent="0.2">
      <c r="A555" s="30" t="s">
        <v>817</v>
      </c>
      <c r="B555" s="31" t="s">
        <v>54</v>
      </c>
      <c r="C555" s="8"/>
      <c r="D555" s="32"/>
      <c r="E555" s="32" t="s">
        <v>233</v>
      </c>
      <c r="F555" s="40">
        <v>2</v>
      </c>
      <c r="G555" s="9">
        <v>115.7</v>
      </c>
      <c r="H555" s="10">
        <v>188</v>
      </c>
      <c r="I555" s="10">
        <f t="shared" si="29"/>
        <v>376</v>
      </c>
      <c r="J555" s="11"/>
      <c r="K555" s="11">
        <v>0</v>
      </c>
      <c r="L555" s="74">
        <f t="shared" si="30"/>
        <v>376</v>
      </c>
      <c r="M555" s="34">
        <f t="shared" si="31"/>
        <v>231.4</v>
      </c>
    </row>
    <row r="556" spans="1:13" ht="15" customHeight="1" x14ac:dyDescent="0.2">
      <c r="A556" s="30" t="s">
        <v>817</v>
      </c>
      <c r="B556" s="31" t="s">
        <v>120</v>
      </c>
      <c r="C556" s="8"/>
      <c r="D556" s="32"/>
      <c r="E556" s="32" t="s">
        <v>299</v>
      </c>
      <c r="F556" s="40">
        <v>2</v>
      </c>
      <c r="G556" s="9">
        <v>178</v>
      </c>
      <c r="H556" s="10">
        <v>248</v>
      </c>
      <c r="I556" s="10">
        <f t="shared" si="29"/>
        <v>496</v>
      </c>
      <c r="J556" s="11"/>
      <c r="K556" s="11">
        <v>0</v>
      </c>
      <c r="L556" s="74">
        <f t="shared" si="30"/>
        <v>496</v>
      </c>
      <c r="M556" s="34">
        <f t="shared" si="31"/>
        <v>356</v>
      </c>
    </row>
    <row r="557" spans="1:13" ht="15" customHeight="1" x14ac:dyDescent="0.2">
      <c r="A557" s="30" t="s">
        <v>817</v>
      </c>
      <c r="B557" s="31" t="s">
        <v>50</v>
      </c>
      <c r="C557" s="8"/>
      <c r="D557" s="32" t="s">
        <v>820</v>
      </c>
      <c r="E557" s="32" t="s">
        <v>229</v>
      </c>
      <c r="F557" s="40">
        <v>1</v>
      </c>
      <c r="G557" s="9">
        <v>44.2</v>
      </c>
      <c r="H557" s="10">
        <v>78</v>
      </c>
      <c r="I557" s="10">
        <f t="shared" si="29"/>
        <v>78</v>
      </c>
      <c r="J557" s="11"/>
      <c r="K557" s="11">
        <v>0</v>
      </c>
      <c r="L557" s="74">
        <f t="shared" si="30"/>
        <v>78</v>
      </c>
      <c r="M557" s="34">
        <f t="shared" si="31"/>
        <v>44.2</v>
      </c>
    </row>
    <row r="558" spans="1:13" ht="15" customHeight="1" x14ac:dyDescent="0.2">
      <c r="A558" s="30" t="s">
        <v>817</v>
      </c>
      <c r="B558" s="31" t="s">
        <v>104</v>
      </c>
      <c r="C558" s="8"/>
      <c r="D558" s="32"/>
      <c r="E558" s="32" t="s">
        <v>283</v>
      </c>
      <c r="F558" s="40">
        <v>1</v>
      </c>
      <c r="G558" s="9">
        <v>28</v>
      </c>
      <c r="H558" s="10">
        <v>48</v>
      </c>
      <c r="I558" s="10">
        <f t="shared" si="29"/>
        <v>48</v>
      </c>
      <c r="J558" s="11"/>
      <c r="K558" s="11">
        <v>0</v>
      </c>
      <c r="L558" s="74">
        <f t="shared" si="30"/>
        <v>48</v>
      </c>
      <c r="M558" s="34">
        <f t="shared" si="31"/>
        <v>28</v>
      </c>
    </row>
    <row r="559" spans="1:13" ht="15" customHeight="1" x14ac:dyDescent="0.2">
      <c r="A559" s="30" t="s">
        <v>833</v>
      </c>
      <c r="B559" s="31" t="s">
        <v>69</v>
      </c>
      <c r="C559" s="8"/>
      <c r="D559" s="32" t="s">
        <v>866</v>
      </c>
      <c r="E559" s="32" t="s">
        <v>248</v>
      </c>
      <c r="F559" s="40">
        <v>7</v>
      </c>
      <c r="G559" s="9">
        <v>32.5</v>
      </c>
      <c r="H559" s="10">
        <v>60</v>
      </c>
      <c r="I559" s="10">
        <f t="shared" si="29"/>
        <v>420</v>
      </c>
      <c r="J559" s="11"/>
      <c r="K559" s="11">
        <v>0</v>
      </c>
      <c r="L559" s="74">
        <f t="shared" si="30"/>
        <v>420</v>
      </c>
      <c r="M559" s="34">
        <f t="shared" si="31"/>
        <v>227.5</v>
      </c>
    </row>
    <row r="560" spans="1:13" ht="15" customHeight="1" x14ac:dyDescent="0.2">
      <c r="A560" s="30" t="s">
        <v>833</v>
      </c>
      <c r="B560" s="31" t="s">
        <v>82</v>
      </c>
      <c r="C560" s="8"/>
      <c r="D560" s="32" t="s">
        <v>867</v>
      </c>
      <c r="E560" s="32" t="s">
        <v>261</v>
      </c>
      <c r="F560" s="40">
        <v>1</v>
      </c>
      <c r="G560" s="9">
        <v>158</v>
      </c>
      <c r="H560" s="10">
        <v>258</v>
      </c>
      <c r="I560" s="10">
        <f t="shared" si="29"/>
        <v>258</v>
      </c>
      <c r="J560" s="11"/>
      <c r="K560" s="11">
        <v>0</v>
      </c>
      <c r="L560" s="74">
        <f t="shared" si="30"/>
        <v>258</v>
      </c>
      <c r="M560" s="34">
        <f t="shared" si="31"/>
        <v>158</v>
      </c>
    </row>
    <row r="561" spans="1:13" ht="15" customHeight="1" x14ac:dyDescent="0.2">
      <c r="A561" s="30" t="s">
        <v>833</v>
      </c>
      <c r="B561" s="31" t="s">
        <v>104</v>
      </c>
      <c r="C561" s="8"/>
      <c r="D561" s="32"/>
      <c r="E561" s="32" t="s">
        <v>283</v>
      </c>
      <c r="F561" s="40">
        <v>4</v>
      </c>
      <c r="G561" s="9">
        <v>28</v>
      </c>
      <c r="H561" s="10">
        <v>48</v>
      </c>
      <c r="I561" s="10">
        <f t="shared" si="29"/>
        <v>192</v>
      </c>
      <c r="J561" s="11"/>
      <c r="K561" s="11">
        <v>0</v>
      </c>
      <c r="L561" s="74">
        <f t="shared" si="30"/>
        <v>192</v>
      </c>
      <c r="M561" s="34">
        <f t="shared" si="31"/>
        <v>112</v>
      </c>
    </row>
    <row r="562" spans="1:13" ht="15" customHeight="1" x14ac:dyDescent="0.2">
      <c r="A562" s="30" t="s">
        <v>833</v>
      </c>
      <c r="B562" s="31" t="s">
        <v>71</v>
      </c>
      <c r="C562" s="8"/>
      <c r="D562" s="32" t="s">
        <v>868</v>
      </c>
      <c r="E562" s="32" t="s">
        <v>250</v>
      </c>
      <c r="F562" s="40">
        <v>1</v>
      </c>
      <c r="G562" s="9">
        <v>258.7</v>
      </c>
      <c r="H562" s="10">
        <v>398</v>
      </c>
      <c r="I562" s="10">
        <f t="shared" si="29"/>
        <v>398</v>
      </c>
      <c r="J562" s="11"/>
      <c r="K562" s="11">
        <v>0</v>
      </c>
      <c r="L562" s="74">
        <f t="shared" si="30"/>
        <v>398</v>
      </c>
      <c r="M562" s="34">
        <f t="shared" si="31"/>
        <v>258.7</v>
      </c>
    </row>
    <row r="563" spans="1:13" ht="15" customHeight="1" x14ac:dyDescent="0.2">
      <c r="A563" s="30" t="s">
        <v>833</v>
      </c>
      <c r="B563" s="31" t="s">
        <v>54</v>
      </c>
      <c r="C563" s="8"/>
      <c r="D563" s="32" t="s">
        <v>869</v>
      </c>
      <c r="E563" s="32" t="s">
        <v>233</v>
      </c>
      <c r="F563" s="40">
        <v>2</v>
      </c>
      <c r="G563" s="9">
        <v>115.7</v>
      </c>
      <c r="H563" s="10">
        <v>188</v>
      </c>
      <c r="I563" s="10">
        <f t="shared" si="29"/>
        <v>376</v>
      </c>
      <c r="J563" s="11"/>
      <c r="K563" s="11">
        <v>0</v>
      </c>
      <c r="L563" s="74">
        <f t="shared" si="30"/>
        <v>376</v>
      </c>
      <c r="M563" s="34">
        <f t="shared" si="31"/>
        <v>231.4</v>
      </c>
    </row>
    <row r="564" spans="1:13" ht="15" customHeight="1" x14ac:dyDescent="0.2">
      <c r="A564" s="30" t="s">
        <v>833</v>
      </c>
      <c r="B564" s="31" t="s">
        <v>59</v>
      </c>
      <c r="C564" s="8"/>
      <c r="D564" s="32"/>
      <c r="E564" s="32" t="s">
        <v>238</v>
      </c>
      <c r="F564" s="40">
        <v>1</v>
      </c>
      <c r="G564" s="9">
        <v>218</v>
      </c>
      <c r="H564" s="10">
        <v>298</v>
      </c>
      <c r="I564" s="10">
        <f t="shared" si="29"/>
        <v>298</v>
      </c>
      <c r="J564" s="11"/>
      <c r="K564" s="11">
        <v>0</v>
      </c>
      <c r="L564" s="74">
        <f t="shared" si="30"/>
        <v>298</v>
      </c>
      <c r="M564" s="34">
        <f t="shared" si="31"/>
        <v>218</v>
      </c>
    </row>
    <row r="565" spans="1:13" ht="15" customHeight="1" x14ac:dyDescent="0.2">
      <c r="A565" s="30" t="s">
        <v>833</v>
      </c>
      <c r="B565" s="31" t="s">
        <v>861</v>
      </c>
      <c r="C565" s="8"/>
      <c r="D565" s="32"/>
      <c r="E565" s="32" t="s">
        <v>898</v>
      </c>
      <c r="F565" s="40">
        <v>1</v>
      </c>
      <c r="G565" s="9">
        <v>180</v>
      </c>
      <c r="H565" s="10">
        <v>228</v>
      </c>
      <c r="I565" s="10">
        <f t="shared" si="29"/>
        <v>228</v>
      </c>
      <c r="J565" s="11"/>
      <c r="K565" s="11">
        <v>0</v>
      </c>
      <c r="L565" s="74">
        <f t="shared" si="30"/>
        <v>228</v>
      </c>
      <c r="M565" s="34">
        <f t="shared" si="31"/>
        <v>180</v>
      </c>
    </row>
    <row r="566" spans="1:13" ht="15" customHeight="1" x14ac:dyDescent="0.2">
      <c r="A566" s="30" t="s">
        <v>833</v>
      </c>
      <c r="B566" s="31" t="s">
        <v>56</v>
      </c>
      <c r="C566" s="8"/>
      <c r="D566" s="32"/>
      <c r="E566" s="32" t="s">
        <v>235</v>
      </c>
      <c r="F566" s="40">
        <v>1</v>
      </c>
      <c r="G566" s="9">
        <v>421.2</v>
      </c>
      <c r="H566" s="10">
        <v>648</v>
      </c>
      <c r="I566" s="10">
        <f t="shared" si="29"/>
        <v>648</v>
      </c>
      <c r="J566" s="11"/>
      <c r="K566" s="11">
        <v>0</v>
      </c>
      <c r="L566" s="74">
        <f t="shared" si="30"/>
        <v>648</v>
      </c>
      <c r="M566" s="34">
        <f t="shared" si="31"/>
        <v>421.2</v>
      </c>
    </row>
    <row r="567" spans="1:13" ht="15" customHeight="1" x14ac:dyDescent="0.2">
      <c r="A567" s="30" t="s">
        <v>833</v>
      </c>
      <c r="B567" s="31" t="s">
        <v>92</v>
      </c>
      <c r="C567" s="8"/>
      <c r="D567" s="32" t="s">
        <v>870</v>
      </c>
      <c r="E567" s="32" t="s">
        <v>271</v>
      </c>
      <c r="F567" s="40">
        <v>3</v>
      </c>
      <c r="G567" s="9">
        <v>388.7</v>
      </c>
      <c r="H567" s="10">
        <v>598</v>
      </c>
      <c r="I567" s="10">
        <f t="shared" si="29"/>
        <v>1794</v>
      </c>
      <c r="J567" s="11"/>
      <c r="K567" s="11">
        <v>0</v>
      </c>
      <c r="L567" s="74">
        <f t="shared" si="30"/>
        <v>1794</v>
      </c>
      <c r="M567" s="34">
        <f t="shared" si="31"/>
        <v>1166.0999999999999</v>
      </c>
    </row>
    <row r="568" spans="1:13" ht="15" customHeight="1" x14ac:dyDescent="0.2">
      <c r="A568" s="30" t="s">
        <v>833</v>
      </c>
      <c r="B568" s="31" t="s">
        <v>104</v>
      </c>
      <c r="C568" s="8"/>
      <c r="D568" s="32"/>
      <c r="E568" s="32" t="s">
        <v>283</v>
      </c>
      <c r="F568" s="40">
        <v>23</v>
      </c>
      <c r="G568" s="9">
        <v>28</v>
      </c>
      <c r="H568" s="10">
        <v>48</v>
      </c>
      <c r="I568" s="10">
        <f t="shared" si="29"/>
        <v>1104</v>
      </c>
      <c r="J568" s="11"/>
      <c r="K568" s="11">
        <v>0</v>
      </c>
      <c r="L568" s="74">
        <f t="shared" si="30"/>
        <v>1104</v>
      </c>
      <c r="M568" s="34">
        <f t="shared" si="31"/>
        <v>644</v>
      </c>
    </row>
    <row r="569" spans="1:13" ht="15" customHeight="1" x14ac:dyDescent="0.2">
      <c r="A569" s="30" t="s">
        <v>833</v>
      </c>
      <c r="B569" s="31" t="s">
        <v>71</v>
      </c>
      <c r="C569" s="8"/>
      <c r="D569" s="32" t="s">
        <v>871</v>
      </c>
      <c r="E569" s="32" t="s">
        <v>250</v>
      </c>
      <c r="F569" s="40">
        <v>1</v>
      </c>
      <c r="G569" s="9">
        <v>258.7</v>
      </c>
      <c r="H569" s="10">
        <v>398</v>
      </c>
      <c r="I569" s="10">
        <f t="shared" si="29"/>
        <v>398</v>
      </c>
      <c r="J569" s="11"/>
      <c r="K569" s="11">
        <v>0</v>
      </c>
      <c r="L569" s="74">
        <f t="shared" si="30"/>
        <v>398</v>
      </c>
      <c r="M569" s="34">
        <f t="shared" si="31"/>
        <v>258.7</v>
      </c>
    </row>
    <row r="570" spans="1:13" ht="15" customHeight="1" x14ac:dyDescent="0.2">
      <c r="A570" s="30" t="s">
        <v>833</v>
      </c>
      <c r="B570" s="31" t="s">
        <v>94</v>
      </c>
      <c r="C570" s="8"/>
      <c r="D570" s="32"/>
      <c r="E570" s="32" t="s">
        <v>273</v>
      </c>
      <c r="F570" s="40">
        <v>1</v>
      </c>
      <c r="G570" s="9">
        <v>291.2</v>
      </c>
      <c r="H570" s="10">
        <v>448</v>
      </c>
      <c r="I570" s="10">
        <f t="shared" si="29"/>
        <v>448</v>
      </c>
      <c r="J570" s="11"/>
      <c r="K570" s="11">
        <v>0</v>
      </c>
      <c r="L570" s="74">
        <f t="shared" si="30"/>
        <v>448</v>
      </c>
      <c r="M570" s="34">
        <f t="shared" si="31"/>
        <v>291.2</v>
      </c>
    </row>
    <row r="571" spans="1:13" ht="15" customHeight="1" x14ac:dyDescent="0.2">
      <c r="A571" s="30" t="s">
        <v>833</v>
      </c>
      <c r="B571" s="31" t="s">
        <v>57</v>
      </c>
      <c r="C571" s="8"/>
      <c r="D571" s="32" t="s">
        <v>872</v>
      </c>
      <c r="E571" s="32" t="s">
        <v>236</v>
      </c>
      <c r="F571" s="40">
        <v>1</v>
      </c>
      <c r="G571" s="9">
        <v>187.2</v>
      </c>
      <c r="H571" s="10">
        <v>288</v>
      </c>
      <c r="I571" s="10">
        <f t="shared" si="29"/>
        <v>288</v>
      </c>
      <c r="J571" s="11"/>
      <c r="K571" s="11">
        <v>0</v>
      </c>
      <c r="L571" s="74">
        <f t="shared" si="30"/>
        <v>288</v>
      </c>
      <c r="M571" s="34">
        <f t="shared" si="31"/>
        <v>187.2</v>
      </c>
    </row>
    <row r="572" spans="1:13" ht="15" customHeight="1" x14ac:dyDescent="0.2">
      <c r="A572" s="30" t="s">
        <v>833</v>
      </c>
      <c r="B572" s="31" t="s">
        <v>112</v>
      </c>
      <c r="C572" s="8"/>
      <c r="D572" s="32" t="s">
        <v>873</v>
      </c>
      <c r="E572" s="32" t="s">
        <v>291</v>
      </c>
      <c r="F572" s="40">
        <v>1</v>
      </c>
      <c r="G572" s="9">
        <v>58</v>
      </c>
      <c r="H572" s="10">
        <v>78</v>
      </c>
      <c r="I572" s="10">
        <f t="shared" si="29"/>
        <v>78</v>
      </c>
      <c r="J572" s="11"/>
      <c r="K572" s="11">
        <v>0</v>
      </c>
      <c r="L572" s="74">
        <f t="shared" si="30"/>
        <v>78</v>
      </c>
      <c r="M572" s="34">
        <f t="shared" si="31"/>
        <v>58</v>
      </c>
    </row>
    <row r="573" spans="1:13" ht="15" customHeight="1" x14ac:dyDescent="0.2">
      <c r="A573" s="30" t="s">
        <v>833</v>
      </c>
      <c r="B573" s="31" t="s">
        <v>63</v>
      </c>
      <c r="C573" s="8"/>
      <c r="D573" s="32"/>
      <c r="E573" s="32" t="s">
        <v>242</v>
      </c>
      <c r="F573" s="40">
        <v>1</v>
      </c>
      <c r="G573" s="9">
        <v>5</v>
      </c>
      <c r="H573" s="10">
        <v>10</v>
      </c>
      <c r="I573" s="10">
        <f t="shared" si="29"/>
        <v>10</v>
      </c>
      <c r="J573" s="11"/>
      <c r="K573" s="11">
        <v>0</v>
      </c>
      <c r="L573" s="74">
        <f t="shared" si="30"/>
        <v>10</v>
      </c>
      <c r="M573" s="34">
        <f t="shared" si="31"/>
        <v>5</v>
      </c>
    </row>
    <row r="574" spans="1:13" ht="15" customHeight="1" x14ac:dyDescent="0.2">
      <c r="A574" s="30" t="s">
        <v>833</v>
      </c>
      <c r="B574" s="31" t="s">
        <v>57</v>
      </c>
      <c r="C574" s="8"/>
      <c r="D574" s="32" t="s">
        <v>874</v>
      </c>
      <c r="E574" s="32" t="s">
        <v>236</v>
      </c>
      <c r="F574" s="40">
        <v>1</v>
      </c>
      <c r="G574" s="9">
        <v>187.2</v>
      </c>
      <c r="H574" s="10">
        <v>288</v>
      </c>
      <c r="I574" s="10">
        <f t="shared" si="29"/>
        <v>288</v>
      </c>
      <c r="J574" s="11"/>
      <c r="K574" s="11">
        <v>0</v>
      </c>
      <c r="L574" s="74">
        <f t="shared" si="30"/>
        <v>288</v>
      </c>
      <c r="M574" s="34">
        <f t="shared" si="31"/>
        <v>187.2</v>
      </c>
    </row>
    <row r="575" spans="1:13" ht="15" customHeight="1" x14ac:dyDescent="0.2">
      <c r="A575" s="30" t="s">
        <v>833</v>
      </c>
      <c r="B575" s="31" t="s">
        <v>53</v>
      </c>
      <c r="C575" s="8"/>
      <c r="D575" s="32"/>
      <c r="E575" s="32" t="s">
        <v>232</v>
      </c>
      <c r="F575" s="40">
        <v>1</v>
      </c>
      <c r="G575" s="9">
        <v>187.2</v>
      </c>
      <c r="H575" s="10">
        <v>288</v>
      </c>
      <c r="I575" s="10">
        <f t="shared" si="29"/>
        <v>288</v>
      </c>
      <c r="J575" s="11"/>
      <c r="K575" s="11">
        <v>0</v>
      </c>
      <c r="L575" s="74">
        <f t="shared" si="30"/>
        <v>288</v>
      </c>
      <c r="M575" s="34">
        <f t="shared" si="31"/>
        <v>187.2</v>
      </c>
    </row>
    <row r="576" spans="1:13" ht="15" customHeight="1" x14ac:dyDescent="0.2">
      <c r="A576" s="30" t="s">
        <v>833</v>
      </c>
      <c r="B576" s="31" t="s">
        <v>47</v>
      </c>
      <c r="C576" s="8"/>
      <c r="D576" s="32"/>
      <c r="E576" s="32" t="s">
        <v>226</v>
      </c>
      <c r="F576" s="40">
        <v>6</v>
      </c>
      <c r="G576" s="9">
        <v>115.7</v>
      </c>
      <c r="H576" s="10">
        <v>188</v>
      </c>
      <c r="I576" s="10">
        <f t="shared" si="29"/>
        <v>1128</v>
      </c>
      <c r="J576" s="11"/>
      <c r="K576" s="11">
        <v>0</v>
      </c>
      <c r="L576" s="74">
        <f t="shared" si="30"/>
        <v>1128</v>
      </c>
      <c r="M576" s="34">
        <f t="shared" si="31"/>
        <v>694.2</v>
      </c>
    </row>
    <row r="577" spans="1:13" ht="15" customHeight="1" x14ac:dyDescent="0.2">
      <c r="A577" s="30" t="s">
        <v>833</v>
      </c>
      <c r="B577" s="31" t="s">
        <v>54</v>
      </c>
      <c r="C577" s="8"/>
      <c r="D577" s="32"/>
      <c r="E577" s="32" t="s">
        <v>233</v>
      </c>
      <c r="F577" s="40">
        <v>6</v>
      </c>
      <c r="G577" s="9">
        <v>115.7</v>
      </c>
      <c r="H577" s="10">
        <v>188</v>
      </c>
      <c r="I577" s="10">
        <f t="shared" si="29"/>
        <v>1128</v>
      </c>
      <c r="J577" s="11"/>
      <c r="K577" s="11">
        <v>0</v>
      </c>
      <c r="L577" s="74">
        <f t="shared" si="30"/>
        <v>1128</v>
      </c>
      <c r="M577" s="34">
        <f t="shared" si="31"/>
        <v>694.2</v>
      </c>
    </row>
    <row r="578" spans="1:13" ht="15" customHeight="1" x14ac:dyDescent="0.2">
      <c r="A578" s="30" t="s">
        <v>833</v>
      </c>
      <c r="B578" s="31" t="s">
        <v>77</v>
      </c>
      <c r="C578" s="8"/>
      <c r="D578" s="32"/>
      <c r="E578" s="32" t="s">
        <v>256</v>
      </c>
      <c r="F578" s="40">
        <v>6</v>
      </c>
      <c r="G578" s="9">
        <v>102.7</v>
      </c>
      <c r="H578" s="10">
        <v>248</v>
      </c>
      <c r="I578" s="10">
        <f t="shared" si="29"/>
        <v>1488</v>
      </c>
      <c r="J578" s="11"/>
      <c r="K578" s="11">
        <v>0</v>
      </c>
      <c r="L578" s="74">
        <f t="shared" si="30"/>
        <v>1488</v>
      </c>
      <c r="M578" s="34">
        <f t="shared" si="31"/>
        <v>616.20000000000005</v>
      </c>
    </row>
    <row r="579" spans="1:13" ht="15" customHeight="1" x14ac:dyDescent="0.2">
      <c r="A579" s="30" t="s">
        <v>833</v>
      </c>
      <c r="B579" s="31" t="s">
        <v>52</v>
      </c>
      <c r="C579" s="8"/>
      <c r="D579" s="32"/>
      <c r="E579" s="32" t="s">
        <v>231</v>
      </c>
      <c r="F579" s="40">
        <v>4</v>
      </c>
      <c r="G579" s="9">
        <v>158</v>
      </c>
      <c r="H579" s="10">
        <v>228</v>
      </c>
      <c r="I579" s="10">
        <f t="shared" si="29"/>
        <v>912</v>
      </c>
      <c r="J579" s="11"/>
      <c r="K579" s="11">
        <v>0</v>
      </c>
      <c r="L579" s="74">
        <f t="shared" si="30"/>
        <v>912</v>
      </c>
      <c r="M579" s="34">
        <f t="shared" si="31"/>
        <v>632</v>
      </c>
    </row>
    <row r="580" spans="1:13" ht="15" customHeight="1" x14ac:dyDescent="0.2">
      <c r="A580" s="30" t="s">
        <v>833</v>
      </c>
      <c r="B580" s="31" t="s">
        <v>120</v>
      </c>
      <c r="C580" s="8"/>
      <c r="D580" s="32"/>
      <c r="E580" s="32" t="s">
        <v>299</v>
      </c>
      <c r="F580" s="40">
        <v>6</v>
      </c>
      <c r="G580" s="9">
        <v>178</v>
      </c>
      <c r="H580" s="10">
        <v>248</v>
      </c>
      <c r="I580" s="10">
        <f t="shared" si="29"/>
        <v>1488</v>
      </c>
      <c r="J580" s="11"/>
      <c r="K580" s="11">
        <v>0</v>
      </c>
      <c r="L580" s="74">
        <f t="shared" si="30"/>
        <v>1488</v>
      </c>
      <c r="M580" s="34">
        <f t="shared" si="31"/>
        <v>1068</v>
      </c>
    </row>
    <row r="581" spans="1:13" ht="15" customHeight="1" x14ac:dyDescent="0.2">
      <c r="A581" s="30" t="s">
        <v>833</v>
      </c>
      <c r="B581" s="31" t="s">
        <v>83</v>
      </c>
      <c r="C581" s="8"/>
      <c r="D581" s="32"/>
      <c r="E581" s="32" t="s">
        <v>262</v>
      </c>
      <c r="F581" s="40">
        <v>4</v>
      </c>
      <c r="G581" s="9">
        <v>96.2</v>
      </c>
      <c r="H581" s="10">
        <v>248</v>
      </c>
      <c r="I581" s="10">
        <f t="shared" si="29"/>
        <v>992</v>
      </c>
      <c r="J581" s="11"/>
      <c r="K581" s="11">
        <v>0</v>
      </c>
      <c r="L581" s="74">
        <f t="shared" si="30"/>
        <v>992</v>
      </c>
      <c r="M581" s="34">
        <f t="shared" si="31"/>
        <v>384.8</v>
      </c>
    </row>
    <row r="582" spans="1:13" ht="15" customHeight="1" x14ac:dyDescent="0.2">
      <c r="A582" s="30" t="s">
        <v>833</v>
      </c>
      <c r="B582" s="31" t="s">
        <v>76</v>
      </c>
      <c r="C582" s="8"/>
      <c r="D582" s="32"/>
      <c r="E582" s="32" t="s">
        <v>255</v>
      </c>
      <c r="F582" s="40">
        <v>6</v>
      </c>
      <c r="G582" s="9">
        <v>50.7</v>
      </c>
      <c r="H582" s="10">
        <v>78</v>
      </c>
      <c r="I582" s="10">
        <f t="shared" si="29"/>
        <v>468</v>
      </c>
      <c r="J582" s="11"/>
      <c r="K582" s="11">
        <v>0</v>
      </c>
      <c r="L582" s="74">
        <f t="shared" si="30"/>
        <v>468</v>
      </c>
      <c r="M582" s="34">
        <f t="shared" si="31"/>
        <v>304.20000000000005</v>
      </c>
    </row>
    <row r="583" spans="1:13" ht="15" customHeight="1" x14ac:dyDescent="0.2">
      <c r="A583" s="30" t="s">
        <v>833</v>
      </c>
      <c r="B583" s="31" t="s">
        <v>63</v>
      </c>
      <c r="C583" s="8"/>
      <c r="D583" s="32"/>
      <c r="E583" s="32" t="s">
        <v>242</v>
      </c>
      <c r="F583" s="40">
        <v>11</v>
      </c>
      <c r="G583" s="9">
        <v>5</v>
      </c>
      <c r="H583" s="10">
        <v>10</v>
      </c>
      <c r="I583" s="10">
        <f t="shared" si="29"/>
        <v>110</v>
      </c>
      <c r="J583" s="11"/>
      <c r="K583" s="11">
        <v>0</v>
      </c>
      <c r="L583" s="74">
        <f t="shared" si="30"/>
        <v>110</v>
      </c>
      <c r="M583" s="34">
        <f t="shared" si="31"/>
        <v>55</v>
      </c>
    </row>
    <row r="584" spans="1:13" ht="15" customHeight="1" x14ac:dyDescent="0.2">
      <c r="A584" s="30" t="s">
        <v>834</v>
      </c>
      <c r="B584" s="31" t="s">
        <v>79</v>
      </c>
      <c r="C584" s="8"/>
      <c r="D584" s="32" t="s">
        <v>875</v>
      </c>
      <c r="E584" s="32" t="s">
        <v>258</v>
      </c>
      <c r="F584" s="40">
        <v>1</v>
      </c>
      <c r="G584" s="9">
        <v>122.2</v>
      </c>
      <c r="H584" s="10">
        <v>228</v>
      </c>
      <c r="I584" s="10">
        <f t="shared" si="29"/>
        <v>228</v>
      </c>
      <c r="J584" s="11"/>
      <c r="K584" s="11">
        <v>0</v>
      </c>
      <c r="L584" s="74">
        <f t="shared" si="30"/>
        <v>228</v>
      </c>
      <c r="M584" s="34">
        <f t="shared" si="31"/>
        <v>122.2</v>
      </c>
    </row>
    <row r="585" spans="1:13" ht="15" customHeight="1" x14ac:dyDescent="0.2">
      <c r="A585" s="30" t="s">
        <v>834</v>
      </c>
      <c r="B585" s="31" t="s">
        <v>62</v>
      </c>
      <c r="C585" s="8"/>
      <c r="D585" s="32"/>
      <c r="E585" s="32" t="s">
        <v>241</v>
      </c>
      <c r="F585" s="40">
        <v>1</v>
      </c>
      <c r="G585" s="9">
        <v>188</v>
      </c>
      <c r="H585" s="10">
        <v>188</v>
      </c>
      <c r="I585" s="10">
        <f t="shared" si="29"/>
        <v>188</v>
      </c>
      <c r="J585" s="11"/>
      <c r="K585" s="11">
        <v>0</v>
      </c>
      <c r="L585" s="74">
        <f t="shared" si="30"/>
        <v>188</v>
      </c>
      <c r="M585" s="34">
        <f t="shared" si="31"/>
        <v>188</v>
      </c>
    </row>
    <row r="586" spans="1:13" ht="15" customHeight="1" x14ac:dyDescent="0.2">
      <c r="A586" s="30" t="s">
        <v>834</v>
      </c>
      <c r="B586" s="31" t="s">
        <v>76</v>
      </c>
      <c r="C586" s="8"/>
      <c r="D586" s="32"/>
      <c r="E586" s="32" t="s">
        <v>255</v>
      </c>
      <c r="F586" s="40">
        <v>1</v>
      </c>
      <c r="G586" s="9">
        <v>50.7</v>
      </c>
      <c r="H586" s="10">
        <v>78</v>
      </c>
      <c r="I586" s="10">
        <f t="shared" si="29"/>
        <v>78</v>
      </c>
      <c r="J586" s="11"/>
      <c r="K586" s="11">
        <v>0</v>
      </c>
      <c r="L586" s="74">
        <f t="shared" si="30"/>
        <v>78</v>
      </c>
      <c r="M586" s="34">
        <f t="shared" si="31"/>
        <v>50.7</v>
      </c>
    </row>
    <row r="587" spans="1:13" ht="15" customHeight="1" x14ac:dyDescent="0.2">
      <c r="A587" s="30" t="s">
        <v>834</v>
      </c>
      <c r="B587" s="31" t="s">
        <v>50</v>
      </c>
      <c r="C587" s="8"/>
      <c r="D587" s="32"/>
      <c r="E587" s="32" t="s">
        <v>229</v>
      </c>
      <c r="F587" s="40">
        <v>1</v>
      </c>
      <c r="G587" s="9">
        <v>44.2</v>
      </c>
      <c r="H587" s="10">
        <v>78</v>
      </c>
      <c r="I587" s="10">
        <f t="shared" si="29"/>
        <v>78</v>
      </c>
      <c r="J587" s="11"/>
      <c r="K587" s="11">
        <v>0</v>
      </c>
      <c r="L587" s="74">
        <f t="shared" si="30"/>
        <v>78</v>
      </c>
      <c r="M587" s="34">
        <f t="shared" si="31"/>
        <v>44.2</v>
      </c>
    </row>
    <row r="588" spans="1:13" ht="15" customHeight="1" x14ac:dyDescent="0.2">
      <c r="A588" s="30" t="s">
        <v>834</v>
      </c>
      <c r="B588" s="31" t="s">
        <v>95</v>
      </c>
      <c r="C588" s="8"/>
      <c r="D588" s="32" t="s">
        <v>876</v>
      </c>
      <c r="E588" s="32" t="s">
        <v>274</v>
      </c>
      <c r="F588" s="40">
        <v>1</v>
      </c>
      <c r="G588" s="9">
        <v>160</v>
      </c>
      <c r="H588" s="10">
        <v>228</v>
      </c>
      <c r="I588" s="10">
        <f t="shared" si="29"/>
        <v>228</v>
      </c>
      <c r="J588" s="11"/>
      <c r="K588" s="11">
        <v>0</v>
      </c>
      <c r="L588" s="74">
        <f t="shared" si="30"/>
        <v>228</v>
      </c>
      <c r="M588" s="34">
        <f t="shared" si="31"/>
        <v>160</v>
      </c>
    </row>
    <row r="589" spans="1:13" ht="15" customHeight="1" x14ac:dyDescent="0.2">
      <c r="A589" s="30" t="s">
        <v>834</v>
      </c>
      <c r="B589" s="31" t="s">
        <v>79</v>
      </c>
      <c r="C589" s="8"/>
      <c r="D589" s="32"/>
      <c r="E589" s="32" t="s">
        <v>258</v>
      </c>
      <c r="F589" s="40">
        <v>1</v>
      </c>
      <c r="G589" s="9">
        <v>122.2</v>
      </c>
      <c r="H589" s="10">
        <v>228</v>
      </c>
      <c r="I589" s="10">
        <f t="shared" si="29"/>
        <v>228</v>
      </c>
      <c r="J589" s="11"/>
      <c r="K589" s="11">
        <v>0</v>
      </c>
      <c r="L589" s="74">
        <f t="shared" si="30"/>
        <v>228</v>
      </c>
      <c r="M589" s="34">
        <f t="shared" si="31"/>
        <v>122.2</v>
      </c>
    </row>
    <row r="590" spans="1:13" ht="15" customHeight="1" x14ac:dyDescent="0.2">
      <c r="A590" s="30" t="s">
        <v>834</v>
      </c>
      <c r="B590" s="31" t="s">
        <v>48</v>
      </c>
      <c r="C590" s="8"/>
      <c r="D590" s="32"/>
      <c r="E590" s="32" t="s">
        <v>227</v>
      </c>
      <c r="F590" s="40">
        <v>3</v>
      </c>
      <c r="G590" s="9">
        <v>13</v>
      </c>
      <c r="H590" s="10">
        <v>20</v>
      </c>
      <c r="I590" s="10">
        <f t="shared" si="29"/>
        <v>60</v>
      </c>
      <c r="J590" s="11"/>
      <c r="K590" s="11">
        <v>0</v>
      </c>
      <c r="L590" s="74">
        <f t="shared" si="30"/>
        <v>60</v>
      </c>
      <c r="M590" s="34">
        <f t="shared" si="31"/>
        <v>39</v>
      </c>
    </row>
    <row r="591" spans="1:13" ht="15" customHeight="1" x14ac:dyDescent="0.2">
      <c r="A591" s="30" t="s">
        <v>834</v>
      </c>
      <c r="B591" s="31" t="s">
        <v>99</v>
      </c>
      <c r="C591" s="8"/>
      <c r="D591" s="32" t="s">
        <v>877</v>
      </c>
      <c r="E591" s="32" t="s">
        <v>278</v>
      </c>
      <c r="F591" s="40">
        <v>1</v>
      </c>
      <c r="G591" s="9">
        <v>291.2</v>
      </c>
      <c r="H591" s="10">
        <v>448</v>
      </c>
      <c r="I591" s="10">
        <f t="shared" si="29"/>
        <v>448</v>
      </c>
      <c r="J591" s="11"/>
      <c r="K591" s="11">
        <v>0</v>
      </c>
      <c r="L591" s="74">
        <f t="shared" si="30"/>
        <v>448</v>
      </c>
      <c r="M591" s="34">
        <f t="shared" si="31"/>
        <v>291.2</v>
      </c>
    </row>
    <row r="592" spans="1:13" ht="15" customHeight="1" x14ac:dyDescent="0.2">
      <c r="A592" s="30" t="s">
        <v>834</v>
      </c>
      <c r="B592" s="31" t="s">
        <v>862</v>
      </c>
      <c r="C592" s="8"/>
      <c r="D592" s="32" t="s">
        <v>878</v>
      </c>
      <c r="E592" s="32" t="s">
        <v>899</v>
      </c>
      <c r="F592" s="40">
        <v>1</v>
      </c>
      <c r="G592" s="9">
        <v>122.2</v>
      </c>
      <c r="H592" s="10">
        <v>248</v>
      </c>
      <c r="I592" s="10">
        <f t="shared" si="29"/>
        <v>248</v>
      </c>
      <c r="J592" s="11"/>
      <c r="K592" s="11">
        <v>0</v>
      </c>
      <c r="L592" s="74">
        <f t="shared" si="30"/>
        <v>248</v>
      </c>
      <c r="M592" s="34">
        <f t="shared" si="31"/>
        <v>122.2</v>
      </c>
    </row>
    <row r="593" spans="1:13" ht="15" customHeight="1" x14ac:dyDescent="0.2">
      <c r="A593" s="30" t="s">
        <v>834</v>
      </c>
      <c r="B593" s="31" t="s">
        <v>97</v>
      </c>
      <c r="C593" s="8"/>
      <c r="D593" s="32"/>
      <c r="E593" s="32" t="s">
        <v>276</v>
      </c>
      <c r="F593" s="40">
        <v>1</v>
      </c>
      <c r="G593" s="9">
        <v>172</v>
      </c>
      <c r="H593" s="10">
        <v>228</v>
      </c>
      <c r="I593" s="10">
        <f t="shared" si="29"/>
        <v>228</v>
      </c>
      <c r="J593" s="11"/>
      <c r="K593" s="11">
        <v>0</v>
      </c>
      <c r="L593" s="74">
        <f t="shared" si="30"/>
        <v>228</v>
      </c>
      <c r="M593" s="34">
        <f t="shared" si="31"/>
        <v>172</v>
      </c>
    </row>
    <row r="594" spans="1:13" ht="15" customHeight="1" x14ac:dyDescent="0.2">
      <c r="A594" s="30" t="s">
        <v>834</v>
      </c>
      <c r="B594" s="31" t="s">
        <v>95</v>
      </c>
      <c r="C594" s="8"/>
      <c r="D594" s="32"/>
      <c r="E594" s="32" t="s">
        <v>274</v>
      </c>
      <c r="F594" s="40">
        <v>1</v>
      </c>
      <c r="G594" s="9">
        <v>160</v>
      </c>
      <c r="H594" s="10">
        <v>228</v>
      </c>
      <c r="I594" s="10">
        <f t="shared" si="29"/>
        <v>228</v>
      </c>
      <c r="J594" s="11"/>
      <c r="K594" s="11">
        <v>0</v>
      </c>
      <c r="L594" s="74">
        <f t="shared" si="30"/>
        <v>228</v>
      </c>
      <c r="M594" s="34">
        <f t="shared" si="28"/>
        <v>160</v>
      </c>
    </row>
    <row r="595" spans="1:13" ht="15" customHeight="1" x14ac:dyDescent="0.2">
      <c r="A595" s="30" t="s">
        <v>834</v>
      </c>
      <c r="B595" s="31" t="s">
        <v>108</v>
      </c>
      <c r="C595" s="8"/>
      <c r="D595" s="32"/>
      <c r="E595" s="32" t="s">
        <v>287</v>
      </c>
      <c r="F595" s="40">
        <v>1</v>
      </c>
      <c r="G595" s="9">
        <v>122.2</v>
      </c>
      <c r="H595" s="10">
        <v>248</v>
      </c>
      <c r="I595" s="10">
        <f t="shared" si="29"/>
        <v>248</v>
      </c>
      <c r="J595" s="11"/>
      <c r="K595" s="11">
        <v>0</v>
      </c>
      <c r="L595" s="74">
        <f t="shared" si="30"/>
        <v>248</v>
      </c>
      <c r="M595" s="34">
        <f t="shared" si="28"/>
        <v>122.2</v>
      </c>
    </row>
    <row r="596" spans="1:13" ht="15" customHeight="1" x14ac:dyDescent="0.2">
      <c r="A596" s="30" t="s">
        <v>834</v>
      </c>
      <c r="B596" s="31" t="s">
        <v>59</v>
      </c>
      <c r="C596" s="8"/>
      <c r="D596" s="32"/>
      <c r="E596" s="32" t="s">
        <v>238</v>
      </c>
      <c r="F596" s="40">
        <v>1</v>
      </c>
      <c r="G596" s="9">
        <v>218</v>
      </c>
      <c r="H596" s="10">
        <v>298</v>
      </c>
      <c r="I596" s="10">
        <f t="shared" si="29"/>
        <v>298</v>
      </c>
      <c r="J596" s="11"/>
      <c r="K596" s="11">
        <v>0</v>
      </c>
      <c r="L596" s="74">
        <f t="shared" si="30"/>
        <v>298</v>
      </c>
      <c r="M596" s="34">
        <f t="shared" si="28"/>
        <v>218</v>
      </c>
    </row>
    <row r="597" spans="1:13" ht="15" customHeight="1" x14ac:dyDescent="0.2">
      <c r="A597" s="30" t="s">
        <v>834</v>
      </c>
      <c r="B597" s="31" t="s">
        <v>75</v>
      </c>
      <c r="C597" s="8"/>
      <c r="D597" s="32"/>
      <c r="E597" s="32" t="s">
        <v>254</v>
      </c>
      <c r="F597" s="40">
        <v>1</v>
      </c>
      <c r="G597" s="9">
        <v>188</v>
      </c>
      <c r="H597" s="10">
        <v>228</v>
      </c>
      <c r="I597" s="10">
        <f t="shared" si="29"/>
        <v>228</v>
      </c>
      <c r="J597" s="11"/>
      <c r="K597" s="11">
        <v>0</v>
      </c>
      <c r="L597" s="74">
        <f t="shared" si="30"/>
        <v>228</v>
      </c>
      <c r="M597" s="34">
        <f t="shared" si="28"/>
        <v>188</v>
      </c>
    </row>
    <row r="598" spans="1:13" ht="15" customHeight="1" x14ac:dyDescent="0.2">
      <c r="A598" s="30" t="s">
        <v>834</v>
      </c>
      <c r="B598" s="31" t="s">
        <v>109</v>
      </c>
      <c r="C598" s="8"/>
      <c r="D598" s="32"/>
      <c r="E598" s="32" t="s">
        <v>288</v>
      </c>
      <c r="F598" s="40">
        <v>1</v>
      </c>
      <c r="G598" s="9">
        <v>200</v>
      </c>
      <c r="H598" s="10">
        <v>288</v>
      </c>
      <c r="I598" s="10">
        <f t="shared" si="29"/>
        <v>288</v>
      </c>
      <c r="J598" s="11"/>
      <c r="K598" s="11">
        <v>0</v>
      </c>
      <c r="L598" s="74">
        <f t="shared" si="30"/>
        <v>288</v>
      </c>
      <c r="M598" s="34">
        <f t="shared" si="28"/>
        <v>200</v>
      </c>
    </row>
    <row r="599" spans="1:13" ht="15" customHeight="1" x14ac:dyDescent="0.2">
      <c r="A599" s="30" t="s">
        <v>834</v>
      </c>
      <c r="B599" s="31" t="s">
        <v>76</v>
      </c>
      <c r="C599" s="8"/>
      <c r="D599" s="32"/>
      <c r="E599" s="32" t="s">
        <v>255</v>
      </c>
      <c r="F599" s="40">
        <v>3</v>
      </c>
      <c r="G599" s="9">
        <v>50.7</v>
      </c>
      <c r="H599" s="10">
        <v>78</v>
      </c>
      <c r="I599" s="10">
        <f t="shared" si="29"/>
        <v>234</v>
      </c>
      <c r="J599" s="11"/>
      <c r="K599" s="11">
        <v>0</v>
      </c>
      <c r="L599" s="74">
        <f t="shared" si="30"/>
        <v>234</v>
      </c>
      <c r="M599" s="34">
        <f t="shared" si="28"/>
        <v>152.10000000000002</v>
      </c>
    </row>
    <row r="600" spans="1:13" ht="15" customHeight="1" x14ac:dyDescent="0.2">
      <c r="A600" s="30" t="s">
        <v>834</v>
      </c>
      <c r="B600" s="31" t="s">
        <v>83</v>
      </c>
      <c r="C600" s="8"/>
      <c r="D600" s="32" t="s">
        <v>879</v>
      </c>
      <c r="E600" s="32" t="s">
        <v>262</v>
      </c>
      <c r="F600" s="40">
        <v>1</v>
      </c>
      <c r="G600" s="9">
        <v>96.2</v>
      </c>
      <c r="H600" s="10">
        <v>248</v>
      </c>
      <c r="I600" s="10">
        <f t="shared" si="29"/>
        <v>248</v>
      </c>
      <c r="J600" s="11"/>
      <c r="K600" s="11">
        <v>0</v>
      </c>
      <c r="L600" s="74">
        <f t="shared" si="30"/>
        <v>248</v>
      </c>
      <c r="M600" s="34">
        <f t="shared" si="28"/>
        <v>96.2</v>
      </c>
    </row>
    <row r="601" spans="1:13" ht="15" customHeight="1" x14ac:dyDescent="0.2">
      <c r="A601" s="30" t="s">
        <v>834</v>
      </c>
      <c r="B601" s="31" t="s">
        <v>48</v>
      </c>
      <c r="C601" s="8"/>
      <c r="D601" s="32"/>
      <c r="E601" s="32" t="s">
        <v>227</v>
      </c>
      <c r="F601" s="40">
        <v>3</v>
      </c>
      <c r="G601" s="9">
        <v>13</v>
      </c>
      <c r="H601" s="10">
        <v>20</v>
      </c>
      <c r="I601" s="10">
        <f t="shared" si="29"/>
        <v>60</v>
      </c>
      <c r="J601" s="11"/>
      <c r="K601" s="11">
        <v>0</v>
      </c>
      <c r="L601" s="74">
        <f t="shared" si="30"/>
        <v>60</v>
      </c>
      <c r="M601" s="34">
        <f t="shared" ref="M601:M640" si="32">F601*G601</f>
        <v>39</v>
      </c>
    </row>
    <row r="602" spans="1:13" ht="15" customHeight="1" x14ac:dyDescent="0.2">
      <c r="A602" s="30" t="s">
        <v>834</v>
      </c>
      <c r="B602" s="31" t="s">
        <v>79</v>
      </c>
      <c r="C602" s="8"/>
      <c r="D602" s="32"/>
      <c r="E602" s="32" t="s">
        <v>258</v>
      </c>
      <c r="F602" s="40">
        <v>1</v>
      </c>
      <c r="G602" s="9">
        <v>122.2</v>
      </c>
      <c r="H602" s="10">
        <v>228</v>
      </c>
      <c r="I602" s="10">
        <f t="shared" si="29"/>
        <v>228</v>
      </c>
      <c r="J602" s="11"/>
      <c r="K602" s="11">
        <v>13</v>
      </c>
      <c r="L602" s="74">
        <f t="shared" si="30"/>
        <v>215</v>
      </c>
      <c r="M602" s="34">
        <f t="shared" si="32"/>
        <v>122.2</v>
      </c>
    </row>
    <row r="603" spans="1:13" ht="15" customHeight="1" x14ac:dyDescent="0.2">
      <c r="A603" s="30" t="s">
        <v>834</v>
      </c>
      <c r="B603" s="31" t="s">
        <v>55</v>
      </c>
      <c r="C603" s="8"/>
      <c r="D603" s="32" t="s">
        <v>880</v>
      </c>
      <c r="E603" s="32" t="s">
        <v>234</v>
      </c>
      <c r="F603" s="40">
        <v>1</v>
      </c>
      <c r="G603" s="9">
        <v>63.7</v>
      </c>
      <c r="H603" s="10">
        <v>228</v>
      </c>
      <c r="I603" s="10">
        <f t="shared" si="29"/>
        <v>228</v>
      </c>
      <c r="J603" s="11"/>
      <c r="K603" s="11">
        <v>0</v>
      </c>
      <c r="L603" s="74">
        <f t="shared" si="30"/>
        <v>228</v>
      </c>
      <c r="M603" s="34">
        <f t="shared" si="32"/>
        <v>63.7</v>
      </c>
    </row>
    <row r="604" spans="1:13" ht="15" customHeight="1" x14ac:dyDescent="0.2">
      <c r="A604" s="30" t="s">
        <v>834</v>
      </c>
      <c r="B604" s="31" t="s">
        <v>863</v>
      </c>
      <c r="C604" s="8"/>
      <c r="D604" s="32"/>
      <c r="E604" s="32" t="s">
        <v>900</v>
      </c>
      <c r="F604" s="40">
        <v>1</v>
      </c>
      <c r="G604" s="9">
        <v>122.2</v>
      </c>
      <c r="H604" s="10">
        <v>248</v>
      </c>
      <c r="I604" s="10">
        <f t="shared" si="29"/>
        <v>248</v>
      </c>
      <c r="J604" s="11"/>
      <c r="K604" s="11">
        <v>0</v>
      </c>
      <c r="L604" s="74">
        <f t="shared" si="30"/>
        <v>248</v>
      </c>
      <c r="M604" s="34">
        <f t="shared" si="32"/>
        <v>122.2</v>
      </c>
    </row>
    <row r="605" spans="1:13" ht="15" customHeight="1" x14ac:dyDescent="0.2">
      <c r="A605" s="30" t="s">
        <v>834</v>
      </c>
      <c r="B605" s="31" t="s">
        <v>759</v>
      </c>
      <c r="C605" s="8"/>
      <c r="D605" s="32" t="s">
        <v>881</v>
      </c>
      <c r="E605" s="32" t="s">
        <v>785</v>
      </c>
      <c r="F605" s="40">
        <v>1</v>
      </c>
      <c r="G605" s="9">
        <v>83</v>
      </c>
      <c r="H605" s="10">
        <v>128</v>
      </c>
      <c r="I605" s="10">
        <f t="shared" si="29"/>
        <v>128</v>
      </c>
      <c r="J605" s="11"/>
      <c r="K605" s="11">
        <v>0</v>
      </c>
      <c r="L605" s="74">
        <f t="shared" si="30"/>
        <v>128</v>
      </c>
      <c r="M605" s="34">
        <f t="shared" si="32"/>
        <v>83</v>
      </c>
    </row>
    <row r="606" spans="1:13" ht="15" customHeight="1" x14ac:dyDescent="0.2">
      <c r="A606" s="30" t="s">
        <v>834</v>
      </c>
      <c r="B606" s="31" t="s">
        <v>65</v>
      </c>
      <c r="C606" s="8"/>
      <c r="D606" s="32"/>
      <c r="E606" s="32" t="s">
        <v>244</v>
      </c>
      <c r="F606" s="40">
        <v>1</v>
      </c>
      <c r="G606" s="9">
        <v>65</v>
      </c>
      <c r="H606" s="10">
        <v>128</v>
      </c>
      <c r="I606" s="10">
        <f t="shared" si="29"/>
        <v>128</v>
      </c>
      <c r="J606" s="11"/>
      <c r="K606" s="11">
        <v>0</v>
      </c>
      <c r="L606" s="74">
        <f t="shared" si="30"/>
        <v>128</v>
      </c>
      <c r="M606" s="34">
        <f t="shared" si="32"/>
        <v>65</v>
      </c>
    </row>
    <row r="607" spans="1:13" ht="15" customHeight="1" x14ac:dyDescent="0.2">
      <c r="A607" s="30" t="s">
        <v>834</v>
      </c>
      <c r="B607" s="31" t="s">
        <v>864</v>
      </c>
      <c r="C607" s="8"/>
      <c r="D607" s="32"/>
      <c r="E607" s="32" t="s">
        <v>901</v>
      </c>
      <c r="F607" s="40">
        <v>1</v>
      </c>
      <c r="G607" s="9">
        <v>83.2</v>
      </c>
      <c r="H607" s="10">
        <v>128</v>
      </c>
      <c r="I607" s="10">
        <f t="shared" si="29"/>
        <v>128</v>
      </c>
      <c r="J607" s="11"/>
      <c r="K607" s="11">
        <v>0</v>
      </c>
      <c r="L607" s="74">
        <f t="shared" si="30"/>
        <v>128</v>
      </c>
      <c r="M607" s="34">
        <f t="shared" si="32"/>
        <v>83.2</v>
      </c>
    </row>
    <row r="608" spans="1:13" ht="15" customHeight="1" x14ac:dyDescent="0.2">
      <c r="A608" s="30" t="s">
        <v>834</v>
      </c>
      <c r="B608" s="31" t="s">
        <v>121</v>
      </c>
      <c r="C608" s="8"/>
      <c r="D608" s="32"/>
      <c r="E608" s="32" t="s">
        <v>300</v>
      </c>
      <c r="F608" s="40">
        <v>1</v>
      </c>
      <c r="G608" s="9">
        <v>63.7</v>
      </c>
      <c r="H608" s="10">
        <v>98</v>
      </c>
      <c r="I608" s="10">
        <f t="shared" si="29"/>
        <v>98</v>
      </c>
      <c r="J608" s="11"/>
      <c r="K608" s="11">
        <v>0</v>
      </c>
      <c r="L608" s="74">
        <f t="shared" si="30"/>
        <v>98</v>
      </c>
      <c r="M608" s="34">
        <f t="shared" si="32"/>
        <v>63.7</v>
      </c>
    </row>
    <row r="609" spans="1:13" ht="15" customHeight="1" x14ac:dyDescent="0.2">
      <c r="A609" s="30" t="s">
        <v>834</v>
      </c>
      <c r="B609" s="31" t="s">
        <v>48</v>
      </c>
      <c r="C609" s="8"/>
      <c r="D609" s="32"/>
      <c r="E609" s="32" t="s">
        <v>227</v>
      </c>
      <c r="F609" s="40">
        <v>1</v>
      </c>
      <c r="G609" s="9">
        <v>13</v>
      </c>
      <c r="H609" s="10">
        <v>20</v>
      </c>
      <c r="I609" s="10">
        <f t="shared" si="29"/>
        <v>20</v>
      </c>
      <c r="J609" s="11"/>
      <c r="K609" s="11">
        <v>0</v>
      </c>
      <c r="L609" s="74">
        <f t="shared" si="30"/>
        <v>20</v>
      </c>
      <c r="M609" s="34">
        <f t="shared" si="32"/>
        <v>13</v>
      </c>
    </row>
    <row r="610" spans="1:13" ht="15" customHeight="1" x14ac:dyDescent="0.2">
      <c r="A610" s="30" t="s">
        <v>834</v>
      </c>
      <c r="B610" s="31" t="s">
        <v>50</v>
      </c>
      <c r="C610" s="8"/>
      <c r="D610" s="32" t="s">
        <v>882</v>
      </c>
      <c r="E610" s="32" t="s">
        <v>229</v>
      </c>
      <c r="F610" s="40">
        <v>3</v>
      </c>
      <c r="G610" s="9">
        <v>44.2</v>
      </c>
      <c r="H610" s="10">
        <v>78</v>
      </c>
      <c r="I610" s="10">
        <f t="shared" si="29"/>
        <v>234</v>
      </c>
      <c r="J610" s="11"/>
      <c r="K610" s="11">
        <v>0</v>
      </c>
      <c r="L610" s="74">
        <f t="shared" si="30"/>
        <v>234</v>
      </c>
      <c r="M610" s="34">
        <f t="shared" si="32"/>
        <v>132.60000000000002</v>
      </c>
    </row>
    <row r="611" spans="1:13" ht="15" customHeight="1" x14ac:dyDescent="0.2">
      <c r="A611" s="30" t="s">
        <v>834</v>
      </c>
      <c r="B611" s="31" t="s">
        <v>65</v>
      </c>
      <c r="C611" s="8"/>
      <c r="D611" s="32" t="s">
        <v>883</v>
      </c>
      <c r="E611" s="32" t="s">
        <v>244</v>
      </c>
      <c r="F611" s="40">
        <v>1</v>
      </c>
      <c r="G611" s="9">
        <v>65</v>
      </c>
      <c r="H611" s="10">
        <v>128</v>
      </c>
      <c r="I611" s="10">
        <f t="shared" si="29"/>
        <v>128</v>
      </c>
      <c r="J611" s="11"/>
      <c r="K611" s="11">
        <v>0</v>
      </c>
      <c r="L611" s="74">
        <f t="shared" si="30"/>
        <v>128</v>
      </c>
      <c r="M611" s="34">
        <f t="shared" si="32"/>
        <v>65</v>
      </c>
    </row>
    <row r="612" spans="1:13" ht="15" customHeight="1" x14ac:dyDescent="0.2">
      <c r="A612" s="30" t="s">
        <v>834</v>
      </c>
      <c r="B612" s="31" t="s">
        <v>53</v>
      </c>
      <c r="C612" s="8"/>
      <c r="D612" s="32" t="s">
        <v>884</v>
      </c>
      <c r="E612" s="32" t="s">
        <v>232</v>
      </c>
      <c r="F612" s="40">
        <v>2</v>
      </c>
      <c r="G612" s="9">
        <v>187.2</v>
      </c>
      <c r="H612" s="10">
        <v>288</v>
      </c>
      <c r="I612" s="10">
        <f t="shared" si="29"/>
        <v>576</v>
      </c>
      <c r="J612" s="11"/>
      <c r="K612" s="11">
        <v>0</v>
      </c>
      <c r="L612" s="74">
        <f t="shared" si="30"/>
        <v>576</v>
      </c>
      <c r="M612" s="34">
        <f t="shared" si="32"/>
        <v>374.4</v>
      </c>
    </row>
    <row r="613" spans="1:13" ht="15" customHeight="1" x14ac:dyDescent="0.2">
      <c r="A613" s="30" t="s">
        <v>834</v>
      </c>
      <c r="B613" s="31" t="s">
        <v>69</v>
      </c>
      <c r="C613" s="8"/>
      <c r="D613" s="32" t="s">
        <v>885</v>
      </c>
      <c r="E613" s="32" t="s">
        <v>248</v>
      </c>
      <c r="F613" s="40">
        <v>1</v>
      </c>
      <c r="G613" s="9">
        <v>32.5</v>
      </c>
      <c r="H613" s="10">
        <v>60</v>
      </c>
      <c r="I613" s="10">
        <f t="shared" si="29"/>
        <v>60</v>
      </c>
      <c r="J613" s="11"/>
      <c r="K613" s="11">
        <v>0</v>
      </c>
      <c r="L613" s="74">
        <f t="shared" si="30"/>
        <v>60</v>
      </c>
      <c r="M613" s="34">
        <f t="shared" si="32"/>
        <v>32.5</v>
      </c>
    </row>
    <row r="614" spans="1:13" ht="15" customHeight="1" x14ac:dyDescent="0.2">
      <c r="A614" s="30" t="s">
        <v>834</v>
      </c>
      <c r="B614" s="31" t="s">
        <v>73</v>
      </c>
      <c r="C614" s="8"/>
      <c r="D614" s="32"/>
      <c r="E614" s="32" t="s">
        <v>252</v>
      </c>
      <c r="F614" s="40">
        <v>1</v>
      </c>
      <c r="G614" s="9">
        <v>6.5</v>
      </c>
      <c r="H614" s="10">
        <v>10</v>
      </c>
      <c r="I614" s="10">
        <f t="shared" ref="I614:I640" si="33">F614*H614</f>
        <v>10</v>
      </c>
      <c r="J614" s="11"/>
      <c r="K614" s="11">
        <v>0</v>
      </c>
      <c r="L614" s="74">
        <f t="shared" ref="L614:L640" si="34">I614-K614</f>
        <v>10</v>
      </c>
      <c r="M614" s="34">
        <f t="shared" si="32"/>
        <v>6.5</v>
      </c>
    </row>
    <row r="615" spans="1:13" ht="15" customHeight="1" x14ac:dyDescent="0.2">
      <c r="A615" s="30" t="s">
        <v>834</v>
      </c>
      <c r="B615" s="31" t="s">
        <v>759</v>
      </c>
      <c r="C615" s="8"/>
      <c r="D615" s="32" t="s">
        <v>886</v>
      </c>
      <c r="E615" s="32" t="s">
        <v>785</v>
      </c>
      <c r="F615" s="40">
        <v>2</v>
      </c>
      <c r="G615" s="9">
        <v>83</v>
      </c>
      <c r="H615" s="10">
        <v>128</v>
      </c>
      <c r="I615" s="10">
        <f t="shared" si="33"/>
        <v>256</v>
      </c>
      <c r="J615" s="11"/>
      <c r="K615" s="11">
        <v>0</v>
      </c>
      <c r="L615" s="74">
        <f t="shared" si="34"/>
        <v>256</v>
      </c>
      <c r="M615" s="34">
        <f t="shared" si="32"/>
        <v>166</v>
      </c>
    </row>
    <row r="616" spans="1:13" ht="15" customHeight="1" x14ac:dyDescent="0.2">
      <c r="A616" s="30" t="s">
        <v>834</v>
      </c>
      <c r="B616" s="31" t="s">
        <v>48</v>
      </c>
      <c r="C616" s="8"/>
      <c r="D616" s="32"/>
      <c r="E616" s="32" t="s">
        <v>227</v>
      </c>
      <c r="F616" s="40">
        <v>2</v>
      </c>
      <c r="G616" s="9">
        <v>13</v>
      </c>
      <c r="H616" s="10">
        <v>20</v>
      </c>
      <c r="I616" s="10">
        <f t="shared" si="33"/>
        <v>40</v>
      </c>
      <c r="J616" s="11"/>
      <c r="K616" s="11">
        <v>0</v>
      </c>
      <c r="L616" s="74">
        <f t="shared" si="34"/>
        <v>40</v>
      </c>
      <c r="M616" s="34">
        <f t="shared" si="32"/>
        <v>26</v>
      </c>
    </row>
    <row r="617" spans="1:13" ht="15" customHeight="1" x14ac:dyDescent="0.2">
      <c r="A617" s="30" t="s">
        <v>834</v>
      </c>
      <c r="B617" s="31" t="s">
        <v>60</v>
      </c>
      <c r="C617" s="8"/>
      <c r="D617" s="32" t="s">
        <v>887</v>
      </c>
      <c r="E617" s="32" t="s">
        <v>239</v>
      </c>
      <c r="F617" s="40">
        <v>1</v>
      </c>
      <c r="G617" s="9">
        <v>100</v>
      </c>
      <c r="H617" s="10">
        <v>188</v>
      </c>
      <c r="I617" s="10">
        <f t="shared" si="33"/>
        <v>188</v>
      </c>
      <c r="J617" s="11"/>
      <c r="K617" s="11">
        <v>0</v>
      </c>
      <c r="L617" s="74">
        <f t="shared" si="34"/>
        <v>188</v>
      </c>
      <c r="M617" s="34">
        <f t="shared" si="32"/>
        <v>100</v>
      </c>
    </row>
    <row r="618" spans="1:13" ht="15" customHeight="1" x14ac:dyDescent="0.2">
      <c r="A618" s="30" t="s">
        <v>834</v>
      </c>
      <c r="B618" s="31" t="s">
        <v>77</v>
      </c>
      <c r="C618" s="8"/>
      <c r="D618" s="32"/>
      <c r="E618" s="32" t="s">
        <v>256</v>
      </c>
      <c r="F618" s="40">
        <v>1</v>
      </c>
      <c r="G618" s="9">
        <v>102.7</v>
      </c>
      <c r="H618" s="10">
        <v>248</v>
      </c>
      <c r="I618" s="10">
        <f t="shared" si="33"/>
        <v>248</v>
      </c>
      <c r="J618" s="11"/>
      <c r="K618" s="11">
        <v>0</v>
      </c>
      <c r="L618" s="74">
        <f t="shared" si="34"/>
        <v>248</v>
      </c>
      <c r="M618" s="34">
        <f t="shared" si="32"/>
        <v>102.7</v>
      </c>
    </row>
    <row r="619" spans="1:13" ht="15" customHeight="1" x14ac:dyDescent="0.2">
      <c r="A619" s="30" t="s">
        <v>834</v>
      </c>
      <c r="B619" s="31" t="s">
        <v>49</v>
      </c>
      <c r="C619" s="8"/>
      <c r="D619" s="32" t="s">
        <v>888</v>
      </c>
      <c r="E619" s="32" t="s">
        <v>228</v>
      </c>
      <c r="F619" s="40">
        <v>1</v>
      </c>
      <c r="G619" s="9">
        <v>58</v>
      </c>
      <c r="H619" s="10">
        <v>88</v>
      </c>
      <c r="I619" s="10">
        <f t="shared" si="33"/>
        <v>88</v>
      </c>
      <c r="J619" s="11"/>
      <c r="K619" s="11">
        <v>0</v>
      </c>
      <c r="L619" s="74">
        <f t="shared" si="34"/>
        <v>88</v>
      </c>
      <c r="M619" s="34">
        <f t="shared" si="32"/>
        <v>58</v>
      </c>
    </row>
    <row r="620" spans="1:13" ht="15" customHeight="1" x14ac:dyDescent="0.2">
      <c r="A620" s="30" t="s">
        <v>834</v>
      </c>
      <c r="B620" s="31" t="s">
        <v>84</v>
      </c>
      <c r="C620" s="8"/>
      <c r="D620" s="32" t="s">
        <v>889</v>
      </c>
      <c r="E620" s="32" t="s">
        <v>263</v>
      </c>
      <c r="F620" s="40">
        <v>1</v>
      </c>
      <c r="G620" s="9">
        <v>58</v>
      </c>
      <c r="H620" s="10">
        <v>78</v>
      </c>
      <c r="I620" s="10">
        <f t="shared" si="33"/>
        <v>78</v>
      </c>
      <c r="J620" s="11"/>
      <c r="K620" s="11">
        <v>0</v>
      </c>
      <c r="L620" s="74">
        <f t="shared" si="34"/>
        <v>78</v>
      </c>
      <c r="M620" s="34">
        <f t="shared" si="32"/>
        <v>58</v>
      </c>
    </row>
    <row r="621" spans="1:13" ht="15" customHeight="1" x14ac:dyDescent="0.2">
      <c r="A621" s="30" t="s">
        <v>834</v>
      </c>
      <c r="B621" s="31" t="s">
        <v>63</v>
      </c>
      <c r="C621" s="8"/>
      <c r="D621" s="32"/>
      <c r="E621" s="32" t="s">
        <v>242</v>
      </c>
      <c r="F621" s="40">
        <v>1</v>
      </c>
      <c r="G621" s="9">
        <v>5</v>
      </c>
      <c r="H621" s="10">
        <v>10</v>
      </c>
      <c r="I621" s="10">
        <f t="shared" si="33"/>
        <v>10</v>
      </c>
      <c r="J621" s="11"/>
      <c r="K621" s="11">
        <v>0</v>
      </c>
      <c r="L621" s="74">
        <f t="shared" si="34"/>
        <v>10</v>
      </c>
      <c r="M621" s="34">
        <f t="shared" si="32"/>
        <v>5</v>
      </c>
    </row>
    <row r="622" spans="1:13" ht="15" customHeight="1" x14ac:dyDescent="0.2">
      <c r="A622" s="30" t="s">
        <v>860</v>
      </c>
      <c r="B622" s="31" t="s">
        <v>56</v>
      </c>
      <c r="C622" s="8"/>
      <c r="D622" s="32" t="s">
        <v>890</v>
      </c>
      <c r="E622" s="32" t="s">
        <v>235</v>
      </c>
      <c r="F622" s="40">
        <v>1</v>
      </c>
      <c r="G622" s="9">
        <v>421.2</v>
      </c>
      <c r="H622" s="10">
        <v>648</v>
      </c>
      <c r="I622" s="10">
        <f t="shared" si="33"/>
        <v>648</v>
      </c>
      <c r="J622" s="11"/>
      <c r="K622" s="11">
        <v>0</v>
      </c>
      <c r="L622" s="74">
        <f t="shared" si="34"/>
        <v>648</v>
      </c>
      <c r="M622" s="34">
        <f t="shared" si="32"/>
        <v>421.2</v>
      </c>
    </row>
    <row r="623" spans="1:13" ht="15" customHeight="1" x14ac:dyDescent="0.2">
      <c r="A623" s="30" t="s">
        <v>860</v>
      </c>
      <c r="B623" s="31" t="s">
        <v>47</v>
      </c>
      <c r="C623" s="8"/>
      <c r="D623" s="32" t="s">
        <v>891</v>
      </c>
      <c r="E623" s="32" t="s">
        <v>226</v>
      </c>
      <c r="F623" s="40">
        <v>1</v>
      </c>
      <c r="G623" s="9">
        <v>115.7</v>
      </c>
      <c r="H623" s="10">
        <v>188</v>
      </c>
      <c r="I623" s="10">
        <f t="shared" si="33"/>
        <v>188</v>
      </c>
      <c r="J623" s="11"/>
      <c r="K623" s="11">
        <v>0</v>
      </c>
      <c r="L623" s="74">
        <f t="shared" si="34"/>
        <v>188</v>
      </c>
      <c r="M623" s="34">
        <f t="shared" si="32"/>
        <v>115.7</v>
      </c>
    </row>
    <row r="624" spans="1:13" ht="15" customHeight="1" x14ac:dyDescent="0.2">
      <c r="A624" s="30" t="s">
        <v>860</v>
      </c>
      <c r="B624" s="31" t="s">
        <v>50</v>
      </c>
      <c r="C624" s="8"/>
      <c r="D624" s="32" t="s">
        <v>892</v>
      </c>
      <c r="E624" s="32" t="s">
        <v>229</v>
      </c>
      <c r="F624" s="40">
        <v>3</v>
      </c>
      <c r="G624" s="9">
        <v>44.2</v>
      </c>
      <c r="H624" s="10">
        <v>78</v>
      </c>
      <c r="I624" s="10">
        <f t="shared" si="33"/>
        <v>234</v>
      </c>
      <c r="J624" s="11"/>
      <c r="K624" s="11">
        <v>0</v>
      </c>
      <c r="L624" s="74">
        <f t="shared" si="34"/>
        <v>234</v>
      </c>
      <c r="M624" s="34">
        <f t="shared" si="32"/>
        <v>132.60000000000002</v>
      </c>
    </row>
    <row r="625" spans="1:13" ht="15" customHeight="1" x14ac:dyDescent="0.2">
      <c r="A625" s="30" t="s">
        <v>860</v>
      </c>
      <c r="B625" s="31" t="s">
        <v>82</v>
      </c>
      <c r="C625" s="8"/>
      <c r="D625" s="32" t="s">
        <v>893</v>
      </c>
      <c r="E625" s="32" t="s">
        <v>261</v>
      </c>
      <c r="F625" s="40">
        <v>1</v>
      </c>
      <c r="G625" s="9">
        <v>158</v>
      </c>
      <c r="H625" s="10">
        <v>258</v>
      </c>
      <c r="I625" s="10">
        <f t="shared" si="33"/>
        <v>258</v>
      </c>
      <c r="J625" s="11"/>
      <c r="K625" s="11">
        <v>0</v>
      </c>
      <c r="L625" s="74">
        <f t="shared" si="34"/>
        <v>258</v>
      </c>
      <c r="M625" s="34">
        <f t="shared" si="32"/>
        <v>158</v>
      </c>
    </row>
    <row r="626" spans="1:13" ht="15" customHeight="1" x14ac:dyDescent="0.2">
      <c r="A626" s="30" t="s">
        <v>860</v>
      </c>
      <c r="B626" s="31" t="s">
        <v>51</v>
      </c>
      <c r="C626" s="8"/>
      <c r="D626" s="32"/>
      <c r="E626" s="32" t="s">
        <v>230</v>
      </c>
      <c r="F626" s="40">
        <v>1</v>
      </c>
      <c r="G626" s="9">
        <v>180</v>
      </c>
      <c r="H626" s="10">
        <v>228</v>
      </c>
      <c r="I626" s="10">
        <f t="shared" si="33"/>
        <v>228</v>
      </c>
      <c r="J626" s="11"/>
      <c r="K626" s="11">
        <v>0</v>
      </c>
      <c r="L626" s="74">
        <f t="shared" si="34"/>
        <v>228</v>
      </c>
      <c r="M626" s="34">
        <f t="shared" si="32"/>
        <v>180</v>
      </c>
    </row>
    <row r="627" spans="1:13" ht="15" customHeight="1" x14ac:dyDescent="0.2">
      <c r="A627" s="30" t="s">
        <v>860</v>
      </c>
      <c r="B627" s="31" t="s">
        <v>60</v>
      </c>
      <c r="C627" s="8"/>
      <c r="D627" s="32"/>
      <c r="E627" s="32" t="s">
        <v>239</v>
      </c>
      <c r="F627" s="40">
        <v>1</v>
      </c>
      <c r="G627" s="9">
        <v>100</v>
      </c>
      <c r="H627" s="10">
        <v>188</v>
      </c>
      <c r="I627" s="10">
        <f t="shared" si="33"/>
        <v>188</v>
      </c>
      <c r="J627" s="11"/>
      <c r="K627" s="11">
        <v>0</v>
      </c>
      <c r="L627" s="74">
        <f t="shared" si="34"/>
        <v>188</v>
      </c>
      <c r="M627" s="34">
        <f t="shared" si="32"/>
        <v>100</v>
      </c>
    </row>
    <row r="628" spans="1:13" ht="15" customHeight="1" x14ac:dyDescent="0.2">
      <c r="A628" s="30" t="s">
        <v>860</v>
      </c>
      <c r="B628" s="31" t="s">
        <v>77</v>
      </c>
      <c r="C628" s="8"/>
      <c r="D628" s="32"/>
      <c r="E628" s="32" t="s">
        <v>256</v>
      </c>
      <c r="F628" s="40">
        <v>1</v>
      </c>
      <c r="G628" s="9">
        <v>102.7</v>
      </c>
      <c r="H628" s="10">
        <v>248</v>
      </c>
      <c r="I628" s="10">
        <f t="shared" si="33"/>
        <v>248</v>
      </c>
      <c r="J628" s="11"/>
      <c r="K628" s="11">
        <v>0</v>
      </c>
      <c r="L628" s="74">
        <f t="shared" si="34"/>
        <v>248</v>
      </c>
      <c r="M628" s="34">
        <f t="shared" si="32"/>
        <v>102.7</v>
      </c>
    </row>
    <row r="629" spans="1:13" ht="15" customHeight="1" x14ac:dyDescent="0.2">
      <c r="A629" s="30" t="s">
        <v>860</v>
      </c>
      <c r="B629" s="31" t="s">
        <v>485</v>
      </c>
      <c r="C629" s="8"/>
      <c r="D629" s="32"/>
      <c r="E629" s="32" t="s">
        <v>520</v>
      </c>
      <c r="F629" s="40">
        <v>1</v>
      </c>
      <c r="G629" s="9">
        <v>96.2</v>
      </c>
      <c r="H629" s="10">
        <v>228</v>
      </c>
      <c r="I629" s="10">
        <f t="shared" si="33"/>
        <v>228</v>
      </c>
      <c r="J629" s="11"/>
      <c r="K629" s="11">
        <v>0</v>
      </c>
      <c r="L629" s="74">
        <f t="shared" si="34"/>
        <v>228</v>
      </c>
      <c r="M629" s="34">
        <f t="shared" si="32"/>
        <v>96.2</v>
      </c>
    </row>
    <row r="630" spans="1:13" ht="15" customHeight="1" x14ac:dyDescent="0.2">
      <c r="A630" s="30" t="s">
        <v>860</v>
      </c>
      <c r="B630" s="31" t="s">
        <v>54</v>
      </c>
      <c r="C630" s="8"/>
      <c r="D630" s="32"/>
      <c r="E630" s="32" t="s">
        <v>233</v>
      </c>
      <c r="F630" s="40">
        <v>1</v>
      </c>
      <c r="G630" s="9">
        <v>115.7</v>
      </c>
      <c r="H630" s="10">
        <v>188</v>
      </c>
      <c r="I630" s="10">
        <f t="shared" si="33"/>
        <v>188</v>
      </c>
      <c r="J630" s="11"/>
      <c r="K630" s="11">
        <v>0</v>
      </c>
      <c r="L630" s="74">
        <f t="shared" si="34"/>
        <v>188</v>
      </c>
      <c r="M630" s="34">
        <f t="shared" si="32"/>
        <v>115.7</v>
      </c>
    </row>
    <row r="631" spans="1:13" ht="15" customHeight="1" x14ac:dyDescent="0.2">
      <c r="A631" s="30" t="s">
        <v>860</v>
      </c>
      <c r="B631" s="31" t="s">
        <v>108</v>
      </c>
      <c r="C631" s="8"/>
      <c r="D631" s="32"/>
      <c r="E631" s="32" t="s">
        <v>287</v>
      </c>
      <c r="F631" s="40">
        <v>1</v>
      </c>
      <c r="G631" s="9">
        <v>122.2</v>
      </c>
      <c r="H631" s="10">
        <v>248</v>
      </c>
      <c r="I631" s="10">
        <f t="shared" si="33"/>
        <v>248</v>
      </c>
      <c r="J631" s="11"/>
      <c r="K631" s="11">
        <v>0</v>
      </c>
      <c r="L631" s="74">
        <f t="shared" si="34"/>
        <v>248</v>
      </c>
      <c r="M631" s="34">
        <f t="shared" si="32"/>
        <v>122.2</v>
      </c>
    </row>
    <row r="632" spans="1:13" ht="15" customHeight="1" x14ac:dyDescent="0.2">
      <c r="A632" s="30" t="s">
        <v>860</v>
      </c>
      <c r="B632" s="31" t="s">
        <v>121</v>
      </c>
      <c r="C632" s="8"/>
      <c r="D632" s="32"/>
      <c r="E632" s="32" t="s">
        <v>300</v>
      </c>
      <c r="F632" s="40">
        <v>1</v>
      </c>
      <c r="G632" s="9">
        <v>63.7</v>
      </c>
      <c r="H632" s="10">
        <v>98</v>
      </c>
      <c r="I632" s="10">
        <f t="shared" si="33"/>
        <v>98</v>
      </c>
      <c r="J632" s="11"/>
      <c r="K632" s="11">
        <v>0</v>
      </c>
      <c r="L632" s="74">
        <f t="shared" si="34"/>
        <v>98</v>
      </c>
      <c r="M632" s="34">
        <f t="shared" si="32"/>
        <v>63.7</v>
      </c>
    </row>
    <row r="633" spans="1:13" ht="15" customHeight="1" x14ac:dyDescent="0.2">
      <c r="A633" s="30" t="s">
        <v>860</v>
      </c>
      <c r="B633" s="31" t="s">
        <v>76</v>
      </c>
      <c r="C633" s="8"/>
      <c r="D633" s="32"/>
      <c r="E633" s="32" t="s">
        <v>255</v>
      </c>
      <c r="F633" s="40">
        <v>2</v>
      </c>
      <c r="G633" s="9">
        <v>50.7</v>
      </c>
      <c r="H633" s="10">
        <v>78</v>
      </c>
      <c r="I633" s="10">
        <f t="shared" si="33"/>
        <v>156</v>
      </c>
      <c r="J633" s="11"/>
      <c r="K633" s="11">
        <v>0</v>
      </c>
      <c r="L633" s="74">
        <f t="shared" si="34"/>
        <v>156</v>
      </c>
      <c r="M633" s="34">
        <f t="shared" si="32"/>
        <v>101.4</v>
      </c>
    </row>
    <row r="634" spans="1:13" ht="15" customHeight="1" x14ac:dyDescent="0.2">
      <c r="A634" s="30" t="s">
        <v>860</v>
      </c>
      <c r="B634" s="31" t="s">
        <v>81</v>
      </c>
      <c r="C634" s="8"/>
      <c r="D634" s="32" t="s">
        <v>894</v>
      </c>
      <c r="E634" s="32" t="s">
        <v>260</v>
      </c>
      <c r="F634" s="40">
        <v>1</v>
      </c>
      <c r="G634" s="9">
        <v>115.7</v>
      </c>
      <c r="H634" s="10">
        <v>298</v>
      </c>
      <c r="I634" s="10">
        <f t="shared" si="33"/>
        <v>298</v>
      </c>
      <c r="J634" s="11"/>
      <c r="K634" s="11">
        <v>0</v>
      </c>
      <c r="L634" s="74">
        <f t="shared" si="34"/>
        <v>298</v>
      </c>
      <c r="M634" s="34">
        <f t="shared" si="32"/>
        <v>115.7</v>
      </c>
    </row>
    <row r="635" spans="1:13" ht="15" customHeight="1" x14ac:dyDescent="0.2">
      <c r="A635" s="30" t="s">
        <v>860</v>
      </c>
      <c r="B635" s="31" t="s">
        <v>77</v>
      </c>
      <c r="C635" s="8"/>
      <c r="D635" s="32"/>
      <c r="E635" s="32" t="s">
        <v>256</v>
      </c>
      <c r="F635" s="40">
        <v>1</v>
      </c>
      <c r="G635" s="9">
        <v>102.7</v>
      </c>
      <c r="H635" s="10">
        <v>248</v>
      </c>
      <c r="I635" s="10">
        <f t="shared" si="33"/>
        <v>248</v>
      </c>
      <c r="J635" s="11"/>
      <c r="K635" s="11">
        <v>0</v>
      </c>
      <c r="L635" s="74">
        <f t="shared" si="34"/>
        <v>248</v>
      </c>
      <c r="M635" s="34">
        <f t="shared" si="32"/>
        <v>102.7</v>
      </c>
    </row>
    <row r="636" spans="1:13" ht="15" customHeight="1" x14ac:dyDescent="0.2">
      <c r="A636" s="30" t="s">
        <v>860</v>
      </c>
      <c r="B636" s="31" t="s">
        <v>47</v>
      </c>
      <c r="C636" s="8"/>
      <c r="D636" s="32"/>
      <c r="E636" s="32" t="s">
        <v>226</v>
      </c>
      <c r="F636" s="40">
        <v>1</v>
      </c>
      <c r="G636" s="9">
        <v>115.7</v>
      </c>
      <c r="H636" s="10">
        <v>188</v>
      </c>
      <c r="I636" s="10">
        <f t="shared" si="33"/>
        <v>188</v>
      </c>
      <c r="J636" s="11"/>
      <c r="K636" s="11">
        <v>0</v>
      </c>
      <c r="L636" s="74">
        <f t="shared" si="34"/>
        <v>188</v>
      </c>
      <c r="M636" s="34">
        <f t="shared" si="32"/>
        <v>115.7</v>
      </c>
    </row>
    <row r="637" spans="1:13" ht="15" customHeight="1" x14ac:dyDescent="0.2">
      <c r="A637" s="30" t="s">
        <v>860</v>
      </c>
      <c r="B637" s="31" t="s">
        <v>61</v>
      </c>
      <c r="C637" s="8"/>
      <c r="D637" s="32" t="s">
        <v>895</v>
      </c>
      <c r="E637" s="32" t="s">
        <v>240</v>
      </c>
      <c r="F637" s="40">
        <v>1</v>
      </c>
      <c r="G637" s="9">
        <v>323.7</v>
      </c>
      <c r="H637" s="10">
        <v>698</v>
      </c>
      <c r="I637" s="10">
        <f t="shared" si="33"/>
        <v>698</v>
      </c>
      <c r="J637" s="11"/>
      <c r="K637" s="11">
        <v>0</v>
      </c>
      <c r="L637" s="74">
        <f t="shared" si="34"/>
        <v>698</v>
      </c>
      <c r="M637" s="34">
        <f t="shared" si="32"/>
        <v>323.7</v>
      </c>
    </row>
    <row r="638" spans="1:13" ht="15" customHeight="1" x14ac:dyDescent="0.2">
      <c r="A638" s="30" t="s">
        <v>860</v>
      </c>
      <c r="B638" s="31" t="s">
        <v>81</v>
      </c>
      <c r="C638" s="8"/>
      <c r="D638" s="32"/>
      <c r="E638" s="32" t="s">
        <v>260</v>
      </c>
      <c r="F638" s="40">
        <v>1</v>
      </c>
      <c r="G638" s="9">
        <v>115.7</v>
      </c>
      <c r="H638" s="10">
        <v>298</v>
      </c>
      <c r="I638" s="10">
        <f t="shared" si="33"/>
        <v>298</v>
      </c>
      <c r="J638" s="11"/>
      <c r="K638" s="11">
        <v>0</v>
      </c>
      <c r="L638" s="74">
        <f t="shared" si="34"/>
        <v>298</v>
      </c>
      <c r="M638" s="34">
        <f t="shared" si="32"/>
        <v>115.7</v>
      </c>
    </row>
    <row r="639" spans="1:13" ht="15" customHeight="1" x14ac:dyDescent="0.2">
      <c r="A639" s="30" t="s">
        <v>860</v>
      </c>
      <c r="B639" s="31" t="s">
        <v>54</v>
      </c>
      <c r="C639" s="8"/>
      <c r="D639" s="32" t="s">
        <v>896</v>
      </c>
      <c r="E639" s="32" t="s">
        <v>233</v>
      </c>
      <c r="F639" s="40">
        <v>1</v>
      </c>
      <c r="G639" s="9">
        <v>115.7</v>
      </c>
      <c r="H639" s="10">
        <v>188</v>
      </c>
      <c r="I639" s="10">
        <f t="shared" si="33"/>
        <v>188</v>
      </c>
      <c r="J639" s="11"/>
      <c r="K639" s="11">
        <v>0</v>
      </c>
      <c r="L639" s="74">
        <f t="shared" si="34"/>
        <v>188</v>
      </c>
      <c r="M639" s="34">
        <f t="shared" si="32"/>
        <v>115.7</v>
      </c>
    </row>
    <row r="640" spans="1:13" ht="15" customHeight="1" x14ac:dyDescent="0.2">
      <c r="A640" s="30" t="s">
        <v>860</v>
      </c>
      <c r="B640" s="31" t="s">
        <v>865</v>
      </c>
      <c r="C640" s="8"/>
      <c r="D640" s="32" t="s">
        <v>897</v>
      </c>
      <c r="E640" s="32" t="s">
        <v>902</v>
      </c>
      <c r="F640" s="40">
        <v>1</v>
      </c>
      <c r="G640" s="9">
        <v>6400</v>
      </c>
      <c r="H640" s="10">
        <v>10000</v>
      </c>
      <c r="I640" s="10">
        <f t="shared" si="33"/>
        <v>10000</v>
      </c>
      <c r="J640" s="11"/>
      <c r="K640" s="11">
        <v>0</v>
      </c>
      <c r="L640" s="74">
        <f t="shared" si="34"/>
        <v>10000</v>
      </c>
      <c r="M640" s="34">
        <f t="shared" si="32"/>
        <v>6400</v>
      </c>
    </row>
    <row r="641" spans="1:13" ht="13.5" thickBot="1" x14ac:dyDescent="0.25">
      <c r="A641" s="35"/>
      <c r="B641" s="36"/>
      <c r="C641" s="36"/>
      <c r="D641" s="37"/>
      <c r="E641" s="37"/>
      <c r="F641" s="12">
        <f t="shared" ref="F641:L641" si="35">+SUM(F6:F640)</f>
        <v>1629</v>
      </c>
      <c r="G641" s="12">
        <f t="shared" si="35"/>
        <v>246708.46000000244</v>
      </c>
      <c r="H641" s="12">
        <f t="shared" si="35"/>
        <v>410950</v>
      </c>
      <c r="I641" s="12">
        <f t="shared" si="35"/>
        <v>480236</v>
      </c>
      <c r="J641" s="12">
        <f t="shared" si="35"/>
        <v>0</v>
      </c>
      <c r="K641" s="12">
        <f t="shared" si="35"/>
        <v>384</v>
      </c>
      <c r="L641" s="13">
        <f t="shared" si="35"/>
        <v>479852</v>
      </c>
      <c r="M641" s="38">
        <f>SUM(M6:M640)</f>
        <v>287729.46000000165</v>
      </c>
    </row>
    <row r="642" spans="1:13" x14ac:dyDescent="0.2">
      <c r="K642" s="14"/>
      <c r="L642" s="14"/>
    </row>
    <row r="643" spans="1:13" x14ac:dyDescent="0.2">
      <c r="K643" s="14" t="s">
        <v>15</v>
      </c>
      <c r="L643" s="14">
        <v>479852</v>
      </c>
    </row>
    <row r="644" spans="1:13" x14ac:dyDescent="0.2">
      <c r="K644" s="14" t="s">
        <v>16</v>
      </c>
      <c r="L644" s="14"/>
    </row>
    <row r="645" spans="1:13" x14ac:dyDescent="0.2">
      <c r="K645" s="15" t="s">
        <v>17</v>
      </c>
      <c r="L645" s="15">
        <f>SUM(L642:L644)</f>
        <v>479852</v>
      </c>
    </row>
    <row r="646" spans="1:13" x14ac:dyDescent="0.2">
      <c r="K646" s="14" t="s">
        <v>18</v>
      </c>
      <c r="L646" s="14">
        <f>L641-L645</f>
        <v>0</v>
      </c>
    </row>
    <row r="647" spans="1:13" x14ac:dyDescent="0.2">
      <c r="F647" s="18" t="s">
        <v>19</v>
      </c>
    </row>
    <row r="648" spans="1:13" x14ac:dyDescent="0.2">
      <c r="F648" s="18" t="s">
        <v>21</v>
      </c>
    </row>
    <row r="649" spans="1:13" x14ac:dyDescent="0.2">
      <c r="F649" s="18" t="s">
        <v>22</v>
      </c>
      <c r="G649" s="1"/>
    </row>
    <row r="650" spans="1:13" x14ac:dyDescent="0.2">
      <c r="F650" s="17" t="s">
        <v>20</v>
      </c>
    </row>
  </sheetData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6128-6F23-4B0E-9503-4DFEFF349EB9}">
  <sheetPr>
    <tabColor rgb="FF92D050"/>
  </sheetPr>
  <dimension ref="A1:U2309"/>
  <sheetViews>
    <sheetView tabSelected="1" zoomScaleNormal="100" workbookViewId="0">
      <pane ySplit="5" topLeftCell="A1151" activePane="bottomLeft" state="frozen"/>
      <selection pane="bottomLeft" activeCell="J1170" sqref="J1170"/>
    </sheetView>
  </sheetViews>
  <sheetFormatPr defaultColWidth="9.140625" defaultRowHeight="12.75" x14ac:dyDescent="0.2"/>
  <cols>
    <col min="1" max="1" width="12" style="39" customWidth="1"/>
    <col min="2" max="2" width="14.5703125" style="17" customWidth="1"/>
    <col min="3" max="3" width="14.140625" style="19" customWidth="1"/>
    <col min="4" max="4" width="28.28515625" style="19" customWidth="1"/>
    <col min="5" max="5" width="13" style="1" customWidth="1"/>
    <col min="6" max="6" width="11.42578125" style="17" customWidth="1"/>
    <col min="7" max="7" width="12.42578125" style="42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2.42578125" style="2" bestFit="1" customWidth="1"/>
    <col min="14" max="14" width="10" style="19" bestFit="1" customWidth="1"/>
    <col min="15" max="16384" width="9.140625" style="19"/>
  </cols>
  <sheetData>
    <row r="1" spans="1:13" x14ac:dyDescent="0.2">
      <c r="A1" s="41" t="s">
        <v>0</v>
      </c>
    </row>
    <row r="2" spans="1:13" x14ac:dyDescent="0.2">
      <c r="A2" s="41" t="s">
        <v>23</v>
      </c>
      <c r="D2" s="22"/>
    </row>
    <row r="3" spans="1:13" ht="13.5" thickBot="1" x14ac:dyDescent="0.25">
      <c r="A3" s="43" t="s">
        <v>31</v>
      </c>
      <c r="E3" s="19"/>
      <c r="F3" s="19"/>
      <c r="H3" s="19"/>
      <c r="I3" s="19"/>
    </row>
    <row r="4" spans="1:13" ht="13.5" thickBot="1" x14ac:dyDescent="0.25">
      <c r="A4" s="23"/>
      <c r="D4" s="19" t="s">
        <v>24</v>
      </c>
      <c r="E4" s="44">
        <f>E1158</f>
        <v>80198</v>
      </c>
      <c r="F4" s="44">
        <f t="shared" ref="F4:H4" si="0">F1158</f>
        <v>25945.39000000005</v>
      </c>
      <c r="G4" s="44">
        <f t="shared" si="0"/>
        <v>26927.210000000076</v>
      </c>
      <c r="H4" s="44">
        <f t="shared" si="0"/>
        <v>1107526.2599999998</v>
      </c>
      <c r="I4" s="44">
        <f>I1158</f>
        <v>121.53999999999999</v>
      </c>
      <c r="J4" s="44">
        <f>J1158</f>
        <v>1107404.7200000007</v>
      </c>
    </row>
    <row r="5" spans="1:13" s="29" customFormat="1" ht="13.5" thickBot="1" x14ac:dyDescent="0.25">
      <c r="A5" s="24" t="s">
        <v>2</v>
      </c>
      <c r="B5" s="25" t="s">
        <v>3</v>
      </c>
      <c r="C5" s="45" t="s">
        <v>5</v>
      </c>
      <c r="D5" s="46" t="s">
        <v>6</v>
      </c>
      <c r="E5" s="47" t="s">
        <v>7</v>
      </c>
      <c r="F5" s="26" t="s">
        <v>8</v>
      </c>
      <c r="G5" s="4" t="s">
        <v>25</v>
      </c>
      <c r="H5" s="4" t="s">
        <v>10</v>
      </c>
      <c r="I5" s="7" t="s">
        <v>12</v>
      </c>
      <c r="J5" s="5" t="s">
        <v>13</v>
      </c>
      <c r="K5" s="48" t="s">
        <v>14</v>
      </c>
      <c r="L5" s="49"/>
      <c r="M5" s="49" t="s">
        <v>15</v>
      </c>
    </row>
    <row r="6" spans="1:13" ht="15" x14ac:dyDescent="0.2">
      <c r="A6" s="50" t="s">
        <v>32</v>
      </c>
      <c r="B6" s="51" t="s">
        <v>309</v>
      </c>
      <c r="C6" s="51" t="s">
        <v>338</v>
      </c>
      <c r="D6" s="52" t="s">
        <v>451</v>
      </c>
      <c r="E6" s="53">
        <v>132</v>
      </c>
      <c r="F6" s="9">
        <v>36</v>
      </c>
      <c r="G6" s="10">
        <v>37.33</v>
      </c>
      <c r="H6" s="54">
        <f t="shared" ref="H6:H69" si="1">E6*G6</f>
        <v>4927.5599999999995</v>
      </c>
      <c r="I6" s="55">
        <v>0</v>
      </c>
      <c r="J6" s="75">
        <f t="shared" ref="J6:J69" si="2">(G6*E6)-I6</f>
        <v>4927.5599999999995</v>
      </c>
      <c r="K6" s="57">
        <f t="shared" ref="K6:K69" si="3">E6*F6</f>
        <v>4752</v>
      </c>
    </row>
    <row r="7" spans="1:13" ht="15" x14ac:dyDescent="0.2">
      <c r="A7" s="50" t="s">
        <v>32</v>
      </c>
      <c r="B7" s="51" t="s">
        <v>310</v>
      </c>
      <c r="C7" s="51"/>
      <c r="D7" s="58" t="s">
        <v>452</v>
      </c>
      <c r="E7" s="53">
        <v>48</v>
      </c>
      <c r="F7" s="9">
        <v>36</v>
      </c>
      <c r="G7" s="10">
        <v>37.33</v>
      </c>
      <c r="H7" s="54">
        <f t="shared" si="1"/>
        <v>1791.84</v>
      </c>
      <c r="I7" s="55">
        <v>0</v>
      </c>
      <c r="J7" s="75">
        <f t="shared" si="2"/>
        <v>1791.84</v>
      </c>
      <c r="K7" s="57">
        <f t="shared" si="3"/>
        <v>1728</v>
      </c>
    </row>
    <row r="8" spans="1:13" ht="15" x14ac:dyDescent="0.2">
      <c r="A8" s="50" t="s">
        <v>32</v>
      </c>
      <c r="B8" s="51" t="s">
        <v>311</v>
      </c>
      <c r="C8" s="51"/>
      <c r="D8" s="58" t="s">
        <v>453</v>
      </c>
      <c r="E8" s="53">
        <v>48</v>
      </c>
      <c r="F8" s="9">
        <v>36.5</v>
      </c>
      <c r="G8" s="10">
        <v>37.33</v>
      </c>
      <c r="H8" s="54">
        <f t="shared" si="1"/>
        <v>1791.84</v>
      </c>
      <c r="I8" s="55">
        <v>0</v>
      </c>
      <c r="J8" s="75">
        <f t="shared" si="2"/>
        <v>1791.84</v>
      </c>
      <c r="K8" s="57">
        <f t="shared" si="3"/>
        <v>1752</v>
      </c>
    </row>
    <row r="9" spans="1:13" ht="15" x14ac:dyDescent="0.2">
      <c r="A9" s="50" t="s">
        <v>32</v>
      </c>
      <c r="B9" s="51" t="s">
        <v>312</v>
      </c>
      <c r="C9" s="51"/>
      <c r="D9" s="58" t="s">
        <v>454</v>
      </c>
      <c r="E9" s="53">
        <v>24</v>
      </c>
      <c r="F9" s="9">
        <v>6.88</v>
      </c>
      <c r="G9" s="10">
        <v>7.54</v>
      </c>
      <c r="H9" s="54">
        <f t="shared" si="1"/>
        <v>180.96</v>
      </c>
      <c r="I9" s="55">
        <v>0</v>
      </c>
      <c r="J9" s="75">
        <f t="shared" si="2"/>
        <v>180.96</v>
      </c>
      <c r="K9" s="57">
        <f t="shared" si="3"/>
        <v>165.12</v>
      </c>
    </row>
    <row r="10" spans="1:13" ht="15" x14ac:dyDescent="0.2">
      <c r="A10" s="50" t="s">
        <v>32</v>
      </c>
      <c r="B10" s="51" t="s">
        <v>313</v>
      </c>
      <c r="C10" s="51"/>
      <c r="D10" s="58" t="s">
        <v>455</v>
      </c>
      <c r="E10" s="53">
        <v>12</v>
      </c>
      <c r="F10" s="9">
        <v>7.04</v>
      </c>
      <c r="G10" s="10">
        <v>7.54</v>
      </c>
      <c r="H10" s="54">
        <f t="shared" si="1"/>
        <v>90.48</v>
      </c>
      <c r="I10" s="55">
        <v>0</v>
      </c>
      <c r="J10" s="75">
        <f t="shared" si="2"/>
        <v>90.48</v>
      </c>
      <c r="K10" s="57">
        <f t="shared" si="3"/>
        <v>84.48</v>
      </c>
    </row>
    <row r="11" spans="1:13" ht="15" x14ac:dyDescent="0.2">
      <c r="A11" s="50" t="s">
        <v>32</v>
      </c>
      <c r="B11" s="51" t="s">
        <v>314</v>
      </c>
      <c r="C11" s="51"/>
      <c r="D11" s="58" t="s">
        <v>456</v>
      </c>
      <c r="E11" s="53">
        <v>12</v>
      </c>
      <c r="F11" s="9">
        <v>6.88</v>
      </c>
      <c r="G11" s="10">
        <v>7.54</v>
      </c>
      <c r="H11" s="54">
        <f t="shared" si="1"/>
        <v>90.48</v>
      </c>
      <c r="I11" s="55">
        <v>0</v>
      </c>
      <c r="J11" s="75">
        <f t="shared" si="2"/>
        <v>90.48</v>
      </c>
      <c r="K11" s="57">
        <f t="shared" si="3"/>
        <v>82.56</v>
      </c>
    </row>
    <row r="12" spans="1:13" ht="15" x14ac:dyDescent="0.2">
      <c r="A12" s="50" t="s">
        <v>32</v>
      </c>
      <c r="B12" s="51" t="s">
        <v>315</v>
      </c>
      <c r="C12" s="51"/>
      <c r="D12" s="58" t="s">
        <v>457</v>
      </c>
      <c r="E12" s="53">
        <v>12</v>
      </c>
      <c r="F12" s="9">
        <v>21.33</v>
      </c>
      <c r="G12" s="10">
        <v>22.33</v>
      </c>
      <c r="H12" s="54">
        <f t="shared" si="1"/>
        <v>267.95999999999998</v>
      </c>
      <c r="I12" s="55">
        <v>0</v>
      </c>
      <c r="J12" s="75">
        <f t="shared" si="2"/>
        <v>267.95999999999998</v>
      </c>
      <c r="K12" s="57">
        <f t="shared" si="3"/>
        <v>255.95999999999998</v>
      </c>
    </row>
    <row r="13" spans="1:13" ht="15" x14ac:dyDescent="0.2">
      <c r="A13" s="50" t="s">
        <v>32</v>
      </c>
      <c r="B13" s="51" t="s">
        <v>316</v>
      </c>
      <c r="C13" s="51"/>
      <c r="D13" s="58" t="s">
        <v>458</v>
      </c>
      <c r="E13" s="53">
        <v>12</v>
      </c>
      <c r="F13" s="9">
        <v>15.92</v>
      </c>
      <c r="G13" s="10">
        <v>16.329999999999998</v>
      </c>
      <c r="H13" s="54">
        <f t="shared" si="1"/>
        <v>195.95999999999998</v>
      </c>
      <c r="I13" s="55">
        <v>0</v>
      </c>
      <c r="J13" s="75">
        <f t="shared" si="2"/>
        <v>195.95999999999998</v>
      </c>
      <c r="K13" s="57">
        <f t="shared" si="3"/>
        <v>191.04</v>
      </c>
    </row>
    <row r="14" spans="1:13" ht="15" x14ac:dyDescent="0.2">
      <c r="A14" s="50" t="s">
        <v>32</v>
      </c>
      <c r="B14" s="51" t="s">
        <v>317</v>
      </c>
      <c r="C14" s="51"/>
      <c r="D14" s="58" t="s">
        <v>459</v>
      </c>
      <c r="E14" s="53">
        <v>36</v>
      </c>
      <c r="F14" s="9">
        <v>59.17</v>
      </c>
      <c r="G14" s="10">
        <v>60</v>
      </c>
      <c r="H14" s="54">
        <f t="shared" si="1"/>
        <v>2160</v>
      </c>
      <c r="I14" s="55">
        <v>0</v>
      </c>
      <c r="J14" s="75">
        <f t="shared" si="2"/>
        <v>2160</v>
      </c>
      <c r="K14" s="57">
        <f t="shared" si="3"/>
        <v>2130.12</v>
      </c>
    </row>
    <row r="15" spans="1:13" ht="15" x14ac:dyDescent="0.2">
      <c r="A15" s="50" t="s">
        <v>32</v>
      </c>
      <c r="B15" s="51" t="s">
        <v>318</v>
      </c>
      <c r="C15" s="51" t="s">
        <v>339</v>
      </c>
      <c r="D15" s="58" t="s">
        <v>460</v>
      </c>
      <c r="E15" s="53">
        <v>2</v>
      </c>
      <c r="F15" s="9">
        <v>59.17</v>
      </c>
      <c r="G15" s="10">
        <v>60</v>
      </c>
      <c r="H15" s="54">
        <f t="shared" si="1"/>
        <v>120</v>
      </c>
      <c r="I15" s="55">
        <v>0</v>
      </c>
      <c r="J15" s="75">
        <f t="shared" si="2"/>
        <v>120</v>
      </c>
      <c r="K15" s="57">
        <f t="shared" si="3"/>
        <v>118.34</v>
      </c>
    </row>
    <row r="16" spans="1:13" ht="15" x14ac:dyDescent="0.2">
      <c r="A16" s="50" t="s">
        <v>32</v>
      </c>
      <c r="B16" s="51" t="s">
        <v>319</v>
      </c>
      <c r="C16" s="51"/>
      <c r="D16" s="58" t="s">
        <v>461</v>
      </c>
      <c r="E16" s="53">
        <v>132</v>
      </c>
      <c r="F16" s="9">
        <v>11.58</v>
      </c>
      <c r="G16" s="10">
        <v>12</v>
      </c>
      <c r="H16" s="54">
        <f t="shared" si="1"/>
        <v>1584</v>
      </c>
      <c r="I16" s="55">
        <v>0</v>
      </c>
      <c r="J16" s="75">
        <f t="shared" si="2"/>
        <v>1584</v>
      </c>
      <c r="K16" s="57">
        <f t="shared" si="3"/>
        <v>1528.56</v>
      </c>
    </row>
    <row r="17" spans="1:14" ht="15" x14ac:dyDescent="0.2">
      <c r="A17" s="50" t="s">
        <v>32</v>
      </c>
      <c r="B17" s="51" t="s">
        <v>320</v>
      </c>
      <c r="C17" s="51"/>
      <c r="D17" s="58" t="s">
        <v>462</v>
      </c>
      <c r="E17" s="53">
        <v>72</v>
      </c>
      <c r="F17" s="9">
        <v>11.58</v>
      </c>
      <c r="G17" s="10">
        <v>12</v>
      </c>
      <c r="H17" s="54">
        <f t="shared" si="1"/>
        <v>864</v>
      </c>
      <c r="I17" s="55">
        <v>0</v>
      </c>
      <c r="J17" s="75">
        <f t="shared" si="2"/>
        <v>864</v>
      </c>
      <c r="K17" s="57">
        <f t="shared" si="3"/>
        <v>833.76</v>
      </c>
    </row>
    <row r="18" spans="1:14" ht="15" x14ac:dyDescent="0.2">
      <c r="A18" s="50" t="s">
        <v>32</v>
      </c>
      <c r="B18" s="51" t="s">
        <v>321</v>
      </c>
      <c r="C18" s="51"/>
      <c r="D18" s="58" t="s">
        <v>463</v>
      </c>
      <c r="E18" s="53">
        <v>72</v>
      </c>
      <c r="F18" s="9">
        <v>11.5</v>
      </c>
      <c r="G18" s="10">
        <v>12</v>
      </c>
      <c r="H18" s="54">
        <f t="shared" si="1"/>
        <v>864</v>
      </c>
      <c r="I18" s="55">
        <v>0</v>
      </c>
      <c r="J18" s="75">
        <f t="shared" si="2"/>
        <v>864</v>
      </c>
      <c r="K18" s="57">
        <f t="shared" si="3"/>
        <v>828</v>
      </c>
    </row>
    <row r="19" spans="1:14" ht="15" x14ac:dyDescent="0.2">
      <c r="A19" s="50" t="s">
        <v>32</v>
      </c>
      <c r="B19" s="51" t="s">
        <v>322</v>
      </c>
      <c r="C19" s="51"/>
      <c r="D19" s="58" t="s">
        <v>464</v>
      </c>
      <c r="E19" s="53">
        <v>24</v>
      </c>
      <c r="F19" s="9">
        <v>15.92</v>
      </c>
      <c r="G19" s="10">
        <v>16.329999999999998</v>
      </c>
      <c r="H19" s="54">
        <f t="shared" si="1"/>
        <v>391.91999999999996</v>
      </c>
      <c r="I19" s="55">
        <v>0</v>
      </c>
      <c r="J19" s="75">
        <f t="shared" si="2"/>
        <v>391.91999999999996</v>
      </c>
      <c r="K19" s="57">
        <f t="shared" si="3"/>
        <v>382.08</v>
      </c>
    </row>
    <row r="20" spans="1:14" ht="15" x14ac:dyDescent="0.2">
      <c r="A20" s="50" t="s">
        <v>32</v>
      </c>
      <c r="B20" s="51" t="s">
        <v>323</v>
      </c>
      <c r="C20" s="51"/>
      <c r="D20" s="58" t="s">
        <v>465</v>
      </c>
      <c r="E20" s="53">
        <v>48</v>
      </c>
      <c r="F20" s="9">
        <v>15.92</v>
      </c>
      <c r="G20" s="10">
        <v>16.329999999999998</v>
      </c>
      <c r="H20" s="54">
        <f t="shared" si="1"/>
        <v>783.83999999999992</v>
      </c>
      <c r="I20" s="55">
        <v>0</v>
      </c>
      <c r="J20" s="75">
        <f t="shared" si="2"/>
        <v>783.83999999999992</v>
      </c>
      <c r="K20" s="57">
        <f t="shared" si="3"/>
        <v>764.16</v>
      </c>
    </row>
    <row r="21" spans="1:14" ht="15" x14ac:dyDescent="0.2">
      <c r="A21" s="50" t="s">
        <v>32</v>
      </c>
      <c r="B21" s="51" t="s">
        <v>324</v>
      </c>
      <c r="C21" s="51"/>
      <c r="D21" s="58" t="s">
        <v>466</v>
      </c>
      <c r="E21" s="53">
        <v>30</v>
      </c>
      <c r="F21" s="9">
        <v>6.67</v>
      </c>
      <c r="G21" s="10">
        <v>7.25</v>
      </c>
      <c r="H21" s="54">
        <f t="shared" si="1"/>
        <v>217.5</v>
      </c>
      <c r="I21" s="55">
        <v>0</v>
      </c>
      <c r="J21" s="75">
        <f t="shared" si="2"/>
        <v>217.5</v>
      </c>
      <c r="K21" s="57">
        <f t="shared" si="3"/>
        <v>200.1</v>
      </c>
    </row>
    <row r="22" spans="1:14" ht="15" x14ac:dyDescent="0.2">
      <c r="A22" s="50" t="s">
        <v>32</v>
      </c>
      <c r="B22" s="51" t="s">
        <v>316</v>
      </c>
      <c r="C22" s="51"/>
      <c r="D22" s="58" t="s">
        <v>458</v>
      </c>
      <c r="E22" s="53">
        <v>156</v>
      </c>
      <c r="F22" s="9">
        <v>15.92</v>
      </c>
      <c r="G22" s="10">
        <v>16.329999999999998</v>
      </c>
      <c r="H22" s="54">
        <f t="shared" si="1"/>
        <v>2547.4799999999996</v>
      </c>
      <c r="I22" s="55">
        <v>0</v>
      </c>
      <c r="J22" s="75">
        <f t="shared" si="2"/>
        <v>2547.4799999999996</v>
      </c>
      <c r="K22" s="57">
        <f t="shared" si="3"/>
        <v>2483.52</v>
      </c>
    </row>
    <row r="23" spans="1:14" ht="15" x14ac:dyDescent="0.2">
      <c r="A23" s="50" t="s">
        <v>32</v>
      </c>
      <c r="B23" s="51" t="s">
        <v>317</v>
      </c>
      <c r="C23" s="51"/>
      <c r="D23" s="58" t="s">
        <v>459</v>
      </c>
      <c r="E23" s="53">
        <v>50</v>
      </c>
      <c r="F23" s="9">
        <v>59.17</v>
      </c>
      <c r="G23" s="10">
        <v>60</v>
      </c>
      <c r="H23" s="54">
        <f t="shared" si="1"/>
        <v>3000</v>
      </c>
      <c r="I23" s="55">
        <v>0</v>
      </c>
      <c r="J23" s="75">
        <f t="shared" si="2"/>
        <v>3000</v>
      </c>
      <c r="K23" s="57">
        <f t="shared" si="3"/>
        <v>2958.5</v>
      </c>
    </row>
    <row r="24" spans="1:14" ht="15" x14ac:dyDescent="0.2">
      <c r="A24" s="50" t="s">
        <v>32</v>
      </c>
      <c r="B24" s="51" t="s">
        <v>315</v>
      </c>
      <c r="C24" s="51"/>
      <c r="D24" s="58" t="s">
        <v>457</v>
      </c>
      <c r="E24" s="53">
        <v>336</v>
      </c>
      <c r="F24" s="9">
        <v>21.33</v>
      </c>
      <c r="G24" s="10">
        <v>22.33</v>
      </c>
      <c r="H24" s="54">
        <f t="shared" si="1"/>
        <v>7502.8799999999992</v>
      </c>
      <c r="I24" s="55">
        <v>0</v>
      </c>
      <c r="J24" s="75">
        <f t="shared" si="2"/>
        <v>7502.8799999999992</v>
      </c>
      <c r="K24" s="57">
        <f t="shared" si="3"/>
        <v>7166.8799999999992</v>
      </c>
      <c r="N24" s="59"/>
    </row>
    <row r="25" spans="1:14" ht="15" x14ac:dyDescent="0.2">
      <c r="A25" s="50" t="s">
        <v>32</v>
      </c>
      <c r="B25" s="51" t="s">
        <v>325</v>
      </c>
      <c r="C25" s="51"/>
      <c r="D25" s="58" t="s">
        <v>467</v>
      </c>
      <c r="E25" s="53">
        <v>6</v>
      </c>
      <c r="F25" s="9">
        <v>21.33</v>
      </c>
      <c r="G25" s="10">
        <v>22.33</v>
      </c>
      <c r="H25" s="54">
        <f t="shared" si="1"/>
        <v>133.97999999999999</v>
      </c>
      <c r="I25" s="55">
        <v>0</v>
      </c>
      <c r="J25" s="75">
        <f t="shared" si="2"/>
        <v>133.97999999999999</v>
      </c>
      <c r="K25" s="57">
        <f t="shared" si="3"/>
        <v>127.97999999999999</v>
      </c>
    </row>
    <row r="26" spans="1:14" ht="15" x14ac:dyDescent="0.2">
      <c r="A26" s="50" t="s">
        <v>32</v>
      </c>
      <c r="B26" s="51" t="s">
        <v>312</v>
      </c>
      <c r="C26" s="51"/>
      <c r="D26" s="58" t="s">
        <v>454</v>
      </c>
      <c r="E26" s="53">
        <v>1080</v>
      </c>
      <c r="F26" s="9">
        <v>6.88</v>
      </c>
      <c r="G26" s="10">
        <v>7.54</v>
      </c>
      <c r="H26" s="54">
        <f t="shared" si="1"/>
        <v>8143.2</v>
      </c>
      <c r="I26" s="55">
        <v>0</v>
      </c>
      <c r="J26" s="75">
        <f t="shared" si="2"/>
        <v>8143.2</v>
      </c>
      <c r="K26" s="57">
        <f t="shared" si="3"/>
        <v>7430.4</v>
      </c>
      <c r="L26" s="2">
        <v>37649.879999999997</v>
      </c>
      <c r="M26" s="2">
        <v>37659</v>
      </c>
      <c r="N26" s="22">
        <f>M26-L26</f>
        <v>9.1200000000026193</v>
      </c>
    </row>
    <row r="27" spans="1:14" ht="15" x14ac:dyDescent="0.2">
      <c r="A27" s="50" t="s">
        <v>35</v>
      </c>
      <c r="B27" s="51" t="s">
        <v>312</v>
      </c>
      <c r="C27" s="51" t="s">
        <v>340</v>
      </c>
      <c r="D27" s="58" t="s">
        <v>454</v>
      </c>
      <c r="E27" s="53">
        <v>12</v>
      </c>
      <c r="F27" s="9">
        <v>6.88</v>
      </c>
      <c r="G27" s="10">
        <v>7.54</v>
      </c>
      <c r="H27" s="54">
        <f t="shared" si="1"/>
        <v>90.48</v>
      </c>
      <c r="I27" s="55">
        <v>0</v>
      </c>
      <c r="J27" s="75">
        <f t="shared" si="2"/>
        <v>90.48</v>
      </c>
      <c r="K27" s="57">
        <f t="shared" si="3"/>
        <v>82.56</v>
      </c>
    </row>
    <row r="28" spans="1:14" ht="15" x14ac:dyDescent="0.2">
      <c r="A28" s="50" t="s">
        <v>35</v>
      </c>
      <c r="B28" s="51" t="s">
        <v>326</v>
      </c>
      <c r="C28" s="51"/>
      <c r="D28" s="58" t="s">
        <v>468</v>
      </c>
      <c r="E28" s="53">
        <v>12</v>
      </c>
      <c r="F28" s="9">
        <v>7.04</v>
      </c>
      <c r="G28" s="10">
        <v>7.54</v>
      </c>
      <c r="H28" s="54">
        <f t="shared" si="1"/>
        <v>90.48</v>
      </c>
      <c r="I28" s="55">
        <v>0</v>
      </c>
      <c r="J28" s="75">
        <f t="shared" si="2"/>
        <v>90.48</v>
      </c>
      <c r="K28" s="57">
        <f t="shared" si="3"/>
        <v>84.48</v>
      </c>
    </row>
    <row r="29" spans="1:14" ht="15" x14ac:dyDescent="0.2">
      <c r="A29" s="50" t="s">
        <v>35</v>
      </c>
      <c r="B29" s="51" t="s">
        <v>327</v>
      </c>
      <c r="C29" s="51"/>
      <c r="D29" s="58" t="s">
        <v>469</v>
      </c>
      <c r="E29" s="53">
        <v>30</v>
      </c>
      <c r="F29" s="9">
        <v>8.4</v>
      </c>
      <c r="G29" s="10">
        <v>8.8000000000000007</v>
      </c>
      <c r="H29" s="54">
        <f t="shared" si="1"/>
        <v>264</v>
      </c>
      <c r="I29" s="55">
        <v>0</v>
      </c>
      <c r="J29" s="75">
        <f t="shared" si="2"/>
        <v>264</v>
      </c>
      <c r="K29" s="57">
        <f t="shared" si="3"/>
        <v>252</v>
      </c>
    </row>
    <row r="30" spans="1:14" ht="15" x14ac:dyDescent="0.2">
      <c r="A30" s="50" t="s">
        <v>35</v>
      </c>
      <c r="B30" s="51" t="s">
        <v>322</v>
      </c>
      <c r="C30" s="51" t="s">
        <v>341</v>
      </c>
      <c r="D30" s="58" t="s">
        <v>464</v>
      </c>
      <c r="E30" s="53">
        <v>24</v>
      </c>
      <c r="F30" s="9">
        <v>15.92</v>
      </c>
      <c r="G30" s="10">
        <v>16.329999999999998</v>
      </c>
      <c r="H30" s="54">
        <f t="shared" si="1"/>
        <v>391.91999999999996</v>
      </c>
      <c r="I30" s="55">
        <v>0</v>
      </c>
      <c r="J30" s="75">
        <f t="shared" si="2"/>
        <v>391.91999999999996</v>
      </c>
      <c r="K30" s="57">
        <f t="shared" si="3"/>
        <v>382.08</v>
      </c>
    </row>
    <row r="31" spans="1:14" ht="15" x14ac:dyDescent="0.2">
      <c r="A31" s="50" t="s">
        <v>35</v>
      </c>
      <c r="B31" s="51" t="s">
        <v>328</v>
      </c>
      <c r="C31" s="51"/>
      <c r="D31" s="58" t="s">
        <v>470</v>
      </c>
      <c r="E31" s="53">
        <v>3</v>
      </c>
      <c r="F31" s="9">
        <v>59.17</v>
      </c>
      <c r="G31" s="10">
        <v>60</v>
      </c>
      <c r="H31" s="54">
        <f t="shared" si="1"/>
        <v>180</v>
      </c>
      <c r="I31" s="55">
        <v>0</v>
      </c>
      <c r="J31" s="75">
        <f t="shared" si="2"/>
        <v>180</v>
      </c>
      <c r="K31" s="57">
        <f t="shared" si="3"/>
        <v>177.51</v>
      </c>
    </row>
    <row r="32" spans="1:14" ht="15" x14ac:dyDescent="0.2">
      <c r="A32" s="50" t="s">
        <v>35</v>
      </c>
      <c r="B32" s="51" t="s">
        <v>315</v>
      </c>
      <c r="C32" s="51"/>
      <c r="D32" s="58" t="s">
        <v>457</v>
      </c>
      <c r="E32" s="53">
        <v>108</v>
      </c>
      <c r="F32" s="9">
        <v>21.33</v>
      </c>
      <c r="G32" s="10">
        <v>22.33</v>
      </c>
      <c r="H32" s="54">
        <f t="shared" si="1"/>
        <v>2411.64</v>
      </c>
      <c r="I32" s="55">
        <v>0</v>
      </c>
      <c r="J32" s="75">
        <f t="shared" si="2"/>
        <v>2411.64</v>
      </c>
      <c r="K32" s="57">
        <f t="shared" si="3"/>
        <v>2303.64</v>
      </c>
    </row>
    <row r="33" spans="1:14" ht="15" x14ac:dyDescent="0.2">
      <c r="A33" s="50" t="s">
        <v>35</v>
      </c>
      <c r="B33" s="51" t="s">
        <v>329</v>
      </c>
      <c r="C33" s="51"/>
      <c r="D33" s="58" t="s">
        <v>471</v>
      </c>
      <c r="E33" s="53">
        <v>108</v>
      </c>
      <c r="F33" s="9">
        <v>21.33</v>
      </c>
      <c r="G33" s="10">
        <v>22.33</v>
      </c>
      <c r="H33" s="54">
        <f t="shared" si="1"/>
        <v>2411.64</v>
      </c>
      <c r="I33" s="55">
        <v>0</v>
      </c>
      <c r="J33" s="75">
        <f t="shared" si="2"/>
        <v>2411.64</v>
      </c>
      <c r="K33" s="57">
        <f t="shared" si="3"/>
        <v>2303.64</v>
      </c>
    </row>
    <row r="34" spans="1:14" ht="15" x14ac:dyDescent="0.2">
      <c r="A34" s="50" t="s">
        <v>35</v>
      </c>
      <c r="B34" s="51" t="s">
        <v>325</v>
      </c>
      <c r="C34" s="51"/>
      <c r="D34" s="58" t="s">
        <v>467</v>
      </c>
      <c r="E34" s="53">
        <v>60</v>
      </c>
      <c r="F34" s="9">
        <v>21.33</v>
      </c>
      <c r="G34" s="10">
        <v>22.33</v>
      </c>
      <c r="H34" s="54">
        <f t="shared" si="1"/>
        <v>1339.8</v>
      </c>
      <c r="I34" s="55">
        <v>0</v>
      </c>
      <c r="J34" s="75">
        <f t="shared" si="2"/>
        <v>1339.8</v>
      </c>
      <c r="K34" s="57">
        <f t="shared" si="3"/>
        <v>1279.8</v>
      </c>
    </row>
    <row r="35" spans="1:14" ht="15" x14ac:dyDescent="0.2">
      <c r="A35" s="50" t="s">
        <v>35</v>
      </c>
      <c r="B35" s="51" t="s">
        <v>316</v>
      </c>
      <c r="C35" s="51"/>
      <c r="D35" s="58" t="s">
        <v>458</v>
      </c>
      <c r="E35" s="53">
        <v>336</v>
      </c>
      <c r="F35" s="9">
        <v>15.92</v>
      </c>
      <c r="G35" s="10">
        <v>16.329999999999998</v>
      </c>
      <c r="H35" s="54">
        <f t="shared" si="1"/>
        <v>5486.8799999999992</v>
      </c>
      <c r="I35" s="55">
        <v>0</v>
      </c>
      <c r="J35" s="75">
        <f t="shared" si="2"/>
        <v>5486.8799999999992</v>
      </c>
      <c r="K35" s="57">
        <f t="shared" si="3"/>
        <v>5349.12</v>
      </c>
    </row>
    <row r="36" spans="1:14" ht="15" x14ac:dyDescent="0.2">
      <c r="A36" s="50" t="s">
        <v>35</v>
      </c>
      <c r="B36" s="51" t="s">
        <v>323</v>
      </c>
      <c r="C36" s="51"/>
      <c r="D36" s="58" t="s">
        <v>465</v>
      </c>
      <c r="E36" s="53">
        <v>132</v>
      </c>
      <c r="F36" s="9">
        <v>15.92</v>
      </c>
      <c r="G36" s="10">
        <v>16.329999999999998</v>
      </c>
      <c r="H36" s="54">
        <f t="shared" si="1"/>
        <v>2155.56</v>
      </c>
      <c r="I36" s="55">
        <v>0</v>
      </c>
      <c r="J36" s="75">
        <f t="shared" si="2"/>
        <v>2155.56</v>
      </c>
      <c r="K36" s="57">
        <f t="shared" si="3"/>
        <v>2101.44</v>
      </c>
    </row>
    <row r="37" spans="1:14" ht="15" x14ac:dyDescent="0.2">
      <c r="A37" s="50" t="s">
        <v>35</v>
      </c>
      <c r="B37" s="51" t="s">
        <v>319</v>
      </c>
      <c r="C37" s="51"/>
      <c r="D37" s="58" t="s">
        <v>461</v>
      </c>
      <c r="E37" s="53">
        <v>300</v>
      </c>
      <c r="F37" s="9">
        <v>11.58</v>
      </c>
      <c r="G37" s="10">
        <v>12</v>
      </c>
      <c r="H37" s="54">
        <f t="shared" si="1"/>
        <v>3600</v>
      </c>
      <c r="I37" s="55">
        <v>0</v>
      </c>
      <c r="J37" s="75">
        <f t="shared" si="2"/>
        <v>3600</v>
      </c>
      <c r="K37" s="57">
        <f t="shared" si="3"/>
        <v>3474</v>
      </c>
    </row>
    <row r="38" spans="1:14" ht="15" x14ac:dyDescent="0.2">
      <c r="A38" s="50" t="s">
        <v>35</v>
      </c>
      <c r="B38" s="51" t="s">
        <v>320</v>
      </c>
      <c r="C38" s="51"/>
      <c r="D38" s="58" t="s">
        <v>462</v>
      </c>
      <c r="E38" s="53">
        <v>60</v>
      </c>
      <c r="F38" s="9">
        <v>11.58</v>
      </c>
      <c r="G38" s="10">
        <v>12</v>
      </c>
      <c r="H38" s="54">
        <f t="shared" si="1"/>
        <v>720</v>
      </c>
      <c r="I38" s="55">
        <v>0</v>
      </c>
      <c r="J38" s="75">
        <f t="shared" si="2"/>
        <v>720</v>
      </c>
      <c r="K38" s="57">
        <f t="shared" si="3"/>
        <v>694.8</v>
      </c>
    </row>
    <row r="39" spans="1:14" ht="15" x14ac:dyDescent="0.2">
      <c r="A39" s="50" t="s">
        <v>35</v>
      </c>
      <c r="B39" s="51" t="s">
        <v>321</v>
      </c>
      <c r="C39" s="51"/>
      <c r="D39" s="58" t="s">
        <v>463</v>
      </c>
      <c r="E39" s="53">
        <v>120</v>
      </c>
      <c r="F39" s="9">
        <v>11.5</v>
      </c>
      <c r="G39" s="10">
        <v>12</v>
      </c>
      <c r="H39" s="54">
        <f t="shared" si="1"/>
        <v>1440</v>
      </c>
      <c r="I39" s="55">
        <v>0</v>
      </c>
      <c r="J39" s="75">
        <f t="shared" si="2"/>
        <v>1440</v>
      </c>
      <c r="K39" s="57">
        <f t="shared" si="3"/>
        <v>1380</v>
      </c>
    </row>
    <row r="40" spans="1:14" ht="15" x14ac:dyDescent="0.2">
      <c r="A40" s="50" t="s">
        <v>35</v>
      </c>
      <c r="B40" s="51" t="s">
        <v>317</v>
      </c>
      <c r="C40" s="51"/>
      <c r="D40" s="58" t="s">
        <v>459</v>
      </c>
      <c r="E40" s="53">
        <v>252</v>
      </c>
      <c r="F40" s="9">
        <v>59.17</v>
      </c>
      <c r="G40" s="10">
        <v>60</v>
      </c>
      <c r="H40" s="54">
        <f t="shared" si="1"/>
        <v>15120</v>
      </c>
      <c r="I40" s="55">
        <v>0</v>
      </c>
      <c r="J40" s="75">
        <f t="shared" si="2"/>
        <v>15120</v>
      </c>
      <c r="K40" s="57">
        <f t="shared" si="3"/>
        <v>14910.84</v>
      </c>
    </row>
    <row r="41" spans="1:14" ht="15" x14ac:dyDescent="0.2">
      <c r="A41" s="50" t="s">
        <v>35</v>
      </c>
      <c r="B41" s="51" t="s">
        <v>330</v>
      </c>
      <c r="C41" s="51"/>
      <c r="D41" s="58" t="s">
        <v>472</v>
      </c>
      <c r="E41" s="53">
        <v>24</v>
      </c>
      <c r="F41" s="9">
        <v>58.67</v>
      </c>
      <c r="G41" s="10">
        <v>60</v>
      </c>
      <c r="H41" s="54">
        <f t="shared" si="1"/>
        <v>1440</v>
      </c>
      <c r="I41" s="55">
        <v>0</v>
      </c>
      <c r="J41" s="75">
        <f t="shared" si="2"/>
        <v>1440</v>
      </c>
      <c r="K41" s="57">
        <f t="shared" si="3"/>
        <v>1408.08</v>
      </c>
    </row>
    <row r="42" spans="1:14" ht="15" x14ac:dyDescent="0.2">
      <c r="A42" s="50" t="s">
        <v>35</v>
      </c>
      <c r="B42" s="51" t="s">
        <v>318</v>
      </c>
      <c r="C42" s="51"/>
      <c r="D42" s="58" t="s">
        <v>460</v>
      </c>
      <c r="E42" s="53">
        <v>39</v>
      </c>
      <c r="F42" s="9">
        <v>59.17</v>
      </c>
      <c r="G42" s="10">
        <v>60</v>
      </c>
      <c r="H42" s="54">
        <f t="shared" si="1"/>
        <v>2340</v>
      </c>
      <c r="I42" s="55">
        <v>0</v>
      </c>
      <c r="J42" s="75">
        <f t="shared" si="2"/>
        <v>2340</v>
      </c>
      <c r="K42" s="57">
        <f t="shared" si="3"/>
        <v>2307.63</v>
      </c>
    </row>
    <row r="43" spans="1:14" ht="15" x14ac:dyDescent="0.2">
      <c r="A43" s="50" t="s">
        <v>35</v>
      </c>
      <c r="B43" s="51" t="s">
        <v>309</v>
      </c>
      <c r="C43" s="51"/>
      <c r="D43" s="58" t="s">
        <v>451</v>
      </c>
      <c r="E43" s="53">
        <v>36</v>
      </c>
      <c r="F43" s="9">
        <v>36</v>
      </c>
      <c r="G43" s="10">
        <v>37.33</v>
      </c>
      <c r="H43" s="54">
        <f t="shared" si="1"/>
        <v>1343.8799999999999</v>
      </c>
      <c r="I43" s="55">
        <v>0</v>
      </c>
      <c r="J43" s="75">
        <f t="shared" si="2"/>
        <v>1343.8799999999999</v>
      </c>
      <c r="K43" s="57">
        <f t="shared" si="3"/>
        <v>1296</v>
      </c>
      <c r="N43" s="59"/>
    </row>
    <row r="44" spans="1:14" ht="15" x14ac:dyDescent="0.2">
      <c r="A44" s="50" t="s">
        <v>35</v>
      </c>
      <c r="B44" s="51" t="s">
        <v>324</v>
      </c>
      <c r="C44" s="51"/>
      <c r="D44" s="58" t="s">
        <v>466</v>
      </c>
      <c r="E44" s="53">
        <v>90</v>
      </c>
      <c r="F44" s="9">
        <v>6.67</v>
      </c>
      <c r="G44" s="10">
        <v>7.25</v>
      </c>
      <c r="H44" s="54">
        <f t="shared" si="1"/>
        <v>652.5</v>
      </c>
      <c r="I44" s="55">
        <v>0</v>
      </c>
      <c r="J44" s="75">
        <f t="shared" si="2"/>
        <v>652.5</v>
      </c>
      <c r="K44" s="57">
        <f t="shared" si="3"/>
        <v>600.29999999999995</v>
      </c>
    </row>
    <row r="45" spans="1:14" ht="15" x14ac:dyDescent="0.2">
      <c r="A45" s="50" t="s">
        <v>35</v>
      </c>
      <c r="B45" s="51" t="s">
        <v>331</v>
      </c>
      <c r="C45" s="51"/>
      <c r="D45" s="58" t="s">
        <v>473</v>
      </c>
      <c r="E45" s="53">
        <v>48</v>
      </c>
      <c r="F45" s="9">
        <v>8.7100000000000009</v>
      </c>
      <c r="G45" s="10">
        <v>9.3800000000000008</v>
      </c>
      <c r="H45" s="54">
        <f t="shared" si="1"/>
        <v>450.24</v>
      </c>
      <c r="I45" s="55">
        <v>0</v>
      </c>
      <c r="J45" s="75">
        <f t="shared" si="2"/>
        <v>450.24</v>
      </c>
      <c r="K45" s="57">
        <f t="shared" si="3"/>
        <v>418.08000000000004</v>
      </c>
    </row>
    <row r="46" spans="1:14" ht="15" x14ac:dyDescent="0.2">
      <c r="A46" s="50" t="s">
        <v>35</v>
      </c>
      <c r="B46" s="51" t="s">
        <v>332</v>
      </c>
      <c r="C46" s="51"/>
      <c r="D46" s="58" t="s">
        <v>474</v>
      </c>
      <c r="E46" s="53">
        <v>24</v>
      </c>
      <c r="F46" s="9">
        <v>14.58</v>
      </c>
      <c r="G46" s="10">
        <v>15.92</v>
      </c>
      <c r="H46" s="54">
        <f t="shared" si="1"/>
        <v>382.08</v>
      </c>
      <c r="I46" s="55">
        <v>0</v>
      </c>
      <c r="J46" s="75">
        <f t="shared" si="2"/>
        <v>382.08</v>
      </c>
      <c r="K46" s="57">
        <f t="shared" si="3"/>
        <v>349.92</v>
      </c>
    </row>
    <row r="47" spans="1:14" ht="15" x14ac:dyDescent="0.2">
      <c r="A47" s="50" t="s">
        <v>35</v>
      </c>
      <c r="B47" s="51" t="s">
        <v>312</v>
      </c>
      <c r="C47" s="51"/>
      <c r="D47" s="58" t="s">
        <v>454</v>
      </c>
      <c r="E47" s="53">
        <v>1920</v>
      </c>
      <c r="F47" s="9">
        <v>6.88</v>
      </c>
      <c r="G47" s="10">
        <v>7.54</v>
      </c>
      <c r="H47" s="54">
        <f t="shared" si="1"/>
        <v>14476.8</v>
      </c>
      <c r="I47" s="55">
        <v>0</v>
      </c>
      <c r="J47" s="75">
        <f t="shared" si="2"/>
        <v>14476.8</v>
      </c>
      <c r="K47" s="57">
        <f t="shared" si="3"/>
        <v>13209.6</v>
      </c>
    </row>
    <row r="48" spans="1:14" ht="15" x14ac:dyDescent="0.2">
      <c r="A48" s="50" t="s">
        <v>35</v>
      </c>
      <c r="B48" s="51" t="s">
        <v>313</v>
      </c>
      <c r="C48" s="51"/>
      <c r="D48" s="58" t="s">
        <v>455</v>
      </c>
      <c r="E48" s="53">
        <v>264</v>
      </c>
      <c r="F48" s="9">
        <v>7.04</v>
      </c>
      <c r="G48" s="10">
        <v>7.54</v>
      </c>
      <c r="H48" s="54">
        <f t="shared" si="1"/>
        <v>1990.56</v>
      </c>
      <c r="I48" s="55">
        <v>0</v>
      </c>
      <c r="J48" s="75">
        <f t="shared" si="2"/>
        <v>1990.56</v>
      </c>
      <c r="K48" s="57">
        <f t="shared" si="3"/>
        <v>1858.56</v>
      </c>
      <c r="L48" s="2">
        <v>60769.02</v>
      </c>
      <c r="M48" s="2">
        <v>60804</v>
      </c>
      <c r="N48" s="22">
        <f>M48-L48</f>
        <v>34.980000000003201</v>
      </c>
    </row>
    <row r="49" spans="1:14" ht="15" x14ac:dyDescent="0.2">
      <c r="A49" s="50" t="s">
        <v>35</v>
      </c>
      <c r="B49" s="51" t="s">
        <v>314</v>
      </c>
      <c r="C49" s="51"/>
      <c r="D49" s="58" t="s">
        <v>456</v>
      </c>
      <c r="E49" s="53">
        <v>264</v>
      </c>
      <c r="F49" s="9">
        <v>6.88</v>
      </c>
      <c r="G49" s="10">
        <v>7.54</v>
      </c>
      <c r="H49" s="54">
        <f t="shared" si="1"/>
        <v>1990.56</v>
      </c>
      <c r="I49" s="55">
        <v>0</v>
      </c>
      <c r="J49" s="75">
        <f t="shared" si="2"/>
        <v>1990.56</v>
      </c>
      <c r="K49" s="57">
        <f t="shared" si="3"/>
        <v>1816.32</v>
      </c>
    </row>
    <row r="50" spans="1:14" ht="15" x14ac:dyDescent="0.2">
      <c r="A50" s="50" t="s">
        <v>36</v>
      </c>
      <c r="B50" s="51" t="s">
        <v>325</v>
      </c>
      <c r="C50" s="51" t="s">
        <v>342</v>
      </c>
      <c r="D50" s="58" t="s">
        <v>467</v>
      </c>
      <c r="E50" s="53">
        <v>360</v>
      </c>
      <c r="F50" s="9">
        <v>21.33</v>
      </c>
      <c r="G50" s="10">
        <v>22.33</v>
      </c>
      <c r="H50" s="54">
        <f t="shared" si="1"/>
        <v>8038.7999999999993</v>
      </c>
      <c r="I50" s="55">
        <v>0</v>
      </c>
      <c r="J50" s="75">
        <f t="shared" si="2"/>
        <v>8038.7999999999993</v>
      </c>
      <c r="K50" s="57">
        <f t="shared" si="3"/>
        <v>7678.7999999999993</v>
      </c>
    </row>
    <row r="51" spans="1:14" ht="15" x14ac:dyDescent="0.2">
      <c r="A51" s="50" t="s">
        <v>36</v>
      </c>
      <c r="B51" s="51" t="s">
        <v>324</v>
      </c>
      <c r="C51" s="51" t="s">
        <v>343</v>
      </c>
      <c r="D51" s="58" t="s">
        <v>466</v>
      </c>
      <c r="E51" s="53">
        <v>60</v>
      </c>
      <c r="F51" s="9">
        <v>6.67</v>
      </c>
      <c r="G51" s="10">
        <v>7.25</v>
      </c>
      <c r="H51" s="54">
        <f t="shared" si="1"/>
        <v>435</v>
      </c>
      <c r="I51" s="55">
        <v>0</v>
      </c>
      <c r="J51" s="75">
        <f t="shared" si="2"/>
        <v>435</v>
      </c>
      <c r="K51" s="57">
        <f t="shared" si="3"/>
        <v>400.2</v>
      </c>
    </row>
    <row r="52" spans="1:14" ht="15" x14ac:dyDescent="0.2">
      <c r="A52" s="50" t="s">
        <v>36</v>
      </c>
      <c r="B52" s="51" t="s">
        <v>318</v>
      </c>
      <c r="C52" s="51"/>
      <c r="D52" s="58" t="s">
        <v>460</v>
      </c>
      <c r="E52" s="53">
        <v>2</v>
      </c>
      <c r="F52" s="9">
        <v>59.17</v>
      </c>
      <c r="G52" s="10">
        <v>60</v>
      </c>
      <c r="H52" s="54">
        <f t="shared" si="1"/>
        <v>120</v>
      </c>
      <c r="I52" s="55">
        <v>0</v>
      </c>
      <c r="J52" s="75">
        <f t="shared" si="2"/>
        <v>120</v>
      </c>
      <c r="K52" s="57">
        <f t="shared" si="3"/>
        <v>118.34</v>
      </c>
    </row>
    <row r="53" spans="1:14" ht="15" x14ac:dyDescent="0.2">
      <c r="A53" s="50" t="s">
        <v>36</v>
      </c>
      <c r="B53" s="51" t="s">
        <v>316</v>
      </c>
      <c r="C53" s="51"/>
      <c r="D53" s="58" t="s">
        <v>458</v>
      </c>
      <c r="E53" s="53">
        <v>12</v>
      </c>
      <c r="F53" s="9">
        <v>15.92</v>
      </c>
      <c r="G53" s="10">
        <v>16.329999999999998</v>
      </c>
      <c r="H53" s="54">
        <f t="shared" si="1"/>
        <v>195.95999999999998</v>
      </c>
      <c r="I53" s="55">
        <v>0</v>
      </c>
      <c r="J53" s="75">
        <f t="shared" si="2"/>
        <v>195.95999999999998</v>
      </c>
      <c r="K53" s="57">
        <f t="shared" si="3"/>
        <v>191.04</v>
      </c>
    </row>
    <row r="54" spans="1:14" ht="15" x14ac:dyDescent="0.2">
      <c r="A54" s="50" t="s">
        <v>36</v>
      </c>
      <c r="B54" s="51" t="s">
        <v>312</v>
      </c>
      <c r="C54" s="51"/>
      <c r="D54" s="58" t="s">
        <v>454</v>
      </c>
      <c r="E54" s="53">
        <v>48</v>
      </c>
      <c r="F54" s="9">
        <v>6.88</v>
      </c>
      <c r="G54" s="10">
        <v>7.54</v>
      </c>
      <c r="H54" s="54">
        <f t="shared" si="1"/>
        <v>361.92</v>
      </c>
      <c r="I54" s="55">
        <v>0</v>
      </c>
      <c r="J54" s="75">
        <f t="shared" si="2"/>
        <v>361.92</v>
      </c>
      <c r="K54" s="57">
        <f t="shared" si="3"/>
        <v>330.24</v>
      </c>
    </row>
    <row r="55" spans="1:14" ht="15" x14ac:dyDescent="0.2">
      <c r="A55" s="50" t="s">
        <v>36</v>
      </c>
      <c r="B55" s="51" t="s">
        <v>317</v>
      </c>
      <c r="C55" s="51"/>
      <c r="D55" s="58" t="s">
        <v>459</v>
      </c>
      <c r="E55" s="53">
        <v>5</v>
      </c>
      <c r="F55" s="9">
        <v>59.17</v>
      </c>
      <c r="G55" s="10">
        <v>60</v>
      </c>
      <c r="H55" s="54">
        <f t="shared" si="1"/>
        <v>300</v>
      </c>
      <c r="I55" s="55">
        <v>0</v>
      </c>
      <c r="J55" s="75">
        <f t="shared" si="2"/>
        <v>300</v>
      </c>
      <c r="K55" s="57">
        <f t="shared" si="3"/>
        <v>295.85000000000002</v>
      </c>
    </row>
    <row r="56" spans="1:14" ht="15" x14ac:dyDescent="0.2">
      <c r="A56" s="50" t="s">
        <v>36</v>
      </c>
      <c r="B56" s="51" t="s">
        <v>309</v>
      </c>
      <c r="C56" s="51" t="s">
        <v>344</v>
      </c>
      <c r="D56" s="58" t="s">
        <v>451</v>
      </c>
      <c r="E56" s="53">
        <v>12</v>
      </c>
      <c r="F56" s="9">
        <v>36</v>
      </c>
      <c r="G56" s="10">
        <v>37.33</v>
      </c>
      <c r="H56" s="54">
        <f t="shared" si="1"/>
        <v>447.96</v>
      </c>
      <c r="I56" s="55">
        <v>0</v>
      </c>
      <c r="J56" s="75">
        <f t="shared" si="2"/>
        <v>447.96</v>
      </c>
      <c r="K56" s="57">
        <f t="shared" si="3"/>
        <v>432</v>
      </c>
    </row>
    <row r="57" spans="1:14" ht="15" x14ac:dyDescent="0.2">
      <c r="A57" s="50" t="s">
        <v>36</v>
      </c>
      <c r="B57" s="51" t="s">
        <v>322</v>
      </c>
      <c r="C57" s="51"/>
      <c r="D57" s="58" t="s">
        <v>464</v>
      </c>
      <c r="E57" s="53">
        <v>108</v>
      </c>
      <c r="F57" s="9">
        <v>15.92</v>
      </c>
      <c r="G57" s="10">
        <v>16.329999999999998</v>
      </c>
      <c r="H57" s="54">
        <f t="shared" si="1"/>
        <v>1763.6399999999999</v>
      </c>
      <c r="I57" s="55">
        <v>0</v>
      </c>
      <c r="J57" s="75">
        <f t="shared" si="2"/>
        <v>1763.6399999999999</v>
      </c>
      <c r="K57" s="57">
        <f t="shared" si="3"/>
        <v>1719.36</v>
      </c>
    </row>
    <row r="58" spans="1:14" ht="15" x14ac:dyDescent="0.2">
      <c r="A58" s="50" t="s">
        <v>36</v>
      </c>
      <c r="B58" s="51" t="s">
        <v>323</v>
      </c>
      <c r="C58" s="51"/>
      <c r="D58" s="58" t="s">
        <v>465</v>
      </c>
      <c r="E58" s="53">
        <v>84</v>
      </c>
      <c r="F58" s="9">
        <v>15.92</v>
      </c>
      <c r="G58" s="10">
        <v>16.329999999999998</v>
      </c>
      <c r="H58" s="54">
        <f t="shared" si="1"/>
        <v>1371.7199999999998</v>
      </c>
      <c r="I58" s="55">
        <v>0</v>
      </c>
      <c r="J58" s="75">
        <f t="shared" si="2"/>
        <v>1371.7199999999998</v>
      </c>
      <c r="K58" s="57">
        <f t="shared" si="3"/>
        <v>1337.28</v>
      </c>
    </row>
    <row r="59" spans="1:14" ht="15" x14ac:dyDescent="0.2">
      <c r="A59" s="50" t="s">
        <v>36</v>
      </c>
      <c r="B59" s="51" t="s">
        <v>317</v>
      </c>
      <c r="C59" s="51"/>
      <c r="D59" s="58" t="s">
        <v>459</v>
      </c>
      <c r="E59" s="53">
        <v>60</v>
      </c>
      <c r="F59" s="9">
        <v>59.17</v>
      </c>
      <c r="G59" s="10">
        <v>60</v>
      </c>
      <c r="H59" s="54">
        <f t="shared" si="1"/>
        <v>3600</v>
      </c>
      <c r="I59" s="55">
        <v>0</v>
      </c>
      <c r="J59" s="75">
        <f t="shared" si="2"/>
        <v>3600</v>
      </c>
      <c r="K59" s="57">
        <f t="shared" si="3"/>
        <v>3550.2000000000003</v>
      </c>
    </row>
    <row r="60" spans="1:14" ht="15" x14ac:dyDescent="0.2">
      <c r="A60" s="50" t="s">
        <v>36</v>
      </c>
      <c r="B60" s="51" t="s">
        <v>318</v>
      </c>
      <c r="C60" s="51"/>
      <c r="D60" s="58" t="s">
        <v>460</v>
      </c>
      <c r="E60" s="53">
        <v>24</v>
      </c>
      <c r="F60" s="9">
        <v>59.17</v>
      </c>
      <c r="G60" s="10">
        <v>60</v>
      </c>
      <c r="H60" s="54">
        <f t="shared" si="1"/>
        <v>1440</v>
      </c>
      <c r="I60" s="55">
        <v>0</v>
      </c>
      <c r="J60" s="75">
        <f t="shared" si="2"/>
        <v>1440</v>
      </c>
      <c r="K60" s="57">
        <f t="shared" si="3"/>
        <v>1420.08</v>
      </c>
    </row>
    <row r="61" spans="1:14" ht="15" x14ac:dyDescent="0.2">
      <c r="A61" s="50" t="s">
        <v>36</v>
      </c>
      <c r="B61" s="51" t="s">
        <v>328</v>
      </c>
      <c r="C61" s="51"/>
      <c r="D61" s="58" t="s">
        <v>470</v>
      </c>
      <c r="E61" s="53">
        <v>12</v>
      </c>
      <c r="F61" s="9">
        <v>59.17</v>
      </c>
      <c r="G61" s="10">
        <v>60</v>
      </c>
      <c r="H61" s="54">
        <f t="shared" si="1"/>
        <v>720</v>
      </c>
      <c r="I61" s="55">
        <v>0</v>
      </c>
      <c r="J61" s="75">
        <f t="shared" si="2"/>
        <v>720</v>
      </c>
      <c r="K61" s="57">
        <f t="shared" si="3"/>
        <v>710.04</v>
      </c>
      <c r="N61" s="59"/>
    </row>
    <row r="62" spans="1:14" ht="15" x14ac:dyDescent="0.2">
      <c r="A62" s="50" t="s">
        <v>36</v>
      </c>
      <c r="B62" s="51" t="s">
        <v>324</v>
      </c>
      <c r="C62" s="51"/>
      <c r="D62" s="58" t="s">
        <v>466</v>
      </c>
      <c r="E62" s="53">
        <v>12</v>
      </c>
      <c r="F62" s="9">
        <v>6.67</v>
      </c>
      <c r="G62" s="10">
        <v>7.25</v>
      </c>
      <c r="H62" s="54">
        <f t="shared" si="1"/>
        <v>87</v>
      </c>
      <c r="I62" s="55">
        <v>0</v>
      </c>
      <c r="J62" s="75">
        <f t="shared" si="2"/>
        <v>87</v>
      </c>
      <c r="K62" s="57">
        <f t="shared" si="3"/>
        <v>80.039999999999992</v>
      </c>
    </row>
    <row r="63" spans="1:14" ht="15" x14ac:dyDescent="0.2">
      <c r="A63" s="50" t="s">
        <v>36</v>
      </c>
      <c r="B63" s="51" t="s">
        <v>329</v>
      </c>
      <c r="C63" s="51"/>
      <c r="D63" s="58" t="s">
        <v>471</v>
      </c>
      <c r="E63" s="53">
        <v>180</v>
      </c>
      <c r="F63" s="9">
        <v>21.33</v>
      </c>
      <c r="G63" s="10">
        <v>22.33</v>
      </c>
      <c r="H63" s="54">
        <f t="shared" si="1"/>
        <v>4019.3999999999996</v>
      </c>
      <c r="I63" s="55">
        <v>0</v>
      </c>
      <c r="J63" s="75">
        <f t="shared" si="2"/>
        <v>4019.3999999999996</v>
      </c>
      <c r="K63" s="57">
        <f t="shared" si="3"/>
        <v>3839.3999999999996</v>
      </c>
    </row>
    <row r="64" spans="1:14" ht="15" x14ac:dyDescent="0.2">
      <c r="A64" s="50" t="s">
        <v>36</v>
      </c>
      <c r="B64" s="51" t="s">
        <v>312</v>
      </c>
      <c r="C64" s="51"/>
      <c r="D64" s="58" t="s">
        <v>454</v>
      </c>
      <c r="E64" s="53">
        <v>1344</v>
      </c>
      <c r="F64" s="9">
        <v>6.88</v>
      </c>
      <c r="G64" s="10">
        <v>7.54</v>
      </c>
      <c r="H64" s="54">
        <f t="shared" si="1"/>
        <v>10133.76</v>
      </c>
      <c r="I64" s="55">
        <v>0</v>
      </c>
      <c r="J64" s="75">
        <f t="shared" si="2"/>
        <v>10133.76</v>
      </c>
      <c r="K64" s="57">
        <f t="shared" si="3"/>
        <v>9246.7199999999993</v>
      </c>
    </row>
    <row r="65" spans="1:14" ht="15" x14ac:dyDescent="0.2">
      <c r="A65" s="50" t="s">
        <v>36</v>
      </c>
      <c r="B65" s="51" t="s">
        <v>313</v>
      </c>
      <c r="C65" s="51"/>
      <c r="D65" s="58" t="s">
        <v>455</v>
      </c>
      <c r="E65" s="53">
        <v>384</v>
      </c>
      <c r="F65" s="9">
        <v>7.04</v>
      </c>
      <c r="G65" s="10">
        <v>7.54</v>
      </c>
      <c r="H65" s="54">
        <f t="shared" si="1"/>
        <v>2895.36</v>
      </c>
      <c r="I65" s="55">
        <v>0</v>
      </c>
      <c r="J65" s="75">
        <f t="shared" si="2"/>
        <v>2895.36</v>
      </c>
      <c r="K65" s="57">
        <f t="shared" si="3"/>
        <v>2703.36</v>
      </c>
    </row>
    <row r="66" spans="1:14" ht="15" x14ac:dyDescent="0.2">
      <c r="A66" s="50" t="s">
        <v>36</v>
      </c>
      <c r="B66" s="51" t="s">
        <v>326</v>
      </c>
      <c r="C66" s="51"/>
      <c r="D66" s="58" t="s">
        <v>468</v>
      </c>
      <c r="E66" s="53">
        <v>264</v>
      </c>
      <c r="F66" s="9">
        <v>7.04</v>
      </c>
      <c r="G66" s="10">
        <v>7.54</v>
      </c>
      <c r="H66" s="54">
        <f t="shared" si="1"/>
        <v>1990.56</v>
      </c>
      <c r="I66" s="55">
        <v>0</v>
      </c>
      <c r="J66" s="75">
        <f t="shared" si="2"/>
        <v>1990.56</v>
      </c>
      <c r="K66" s="57">
        <f t="shared" si="3"/>
        <v>1858.56</v>
      </c>
    </row>
    <row r="67" spans="1:14" ht="15" x14ac:dyDescent="0.2">
      <c r="A67" s="50" t="s">
        <v>36</v>
      </c>
      <c r="B67" s="51" t="s">
        <v>325</v>
      </c>
      <c r="C67" s="51"/>
      <c r="D67" s="58" t="s">
        <v>467</v>
      </c>
      <c r="E67" s="53">
        <v>216</v>
      </c>
      <c r="F67" s="9">
        <v>21.33</v>
      </c>
      <c r="G67" s="10">
        <v>22.33</v>
      </c>
      <c r="H67" s="54">
        <f t="shared" si="1"/>
        <v>4823.28</v>
      </c>
      <c r="I67" s="55">
        <v>0</v>
      </c>
      <c r="J67" s="75">
        <f t="shared" si="2"/>
        <v>4823.28</v>
      </c>
      <c r="K67" s="57">
        <f t="shared" si="3"/>
        <v>4607.28</v>
      </c>
    </row>
    <row r="68" spans="1:14" ht="15" x14ac:dyDescent="0.2">
      <c r="A68" s="50" t="s">
        <v>36</v>
      </c>
      <c r="B68" s="51" t="s">
        <v>316</v>
      </c>
      <c r="C68" s="51"/>
      <c r="D68" s="58" t="s">
        <v>458</v>
      </c>
      <c r="E68" s="53">
        <v>300</v>
      </c>
      <c r="F68" s="9">
        <v>15.92</v>
      </c>
      <c r="G68" s="10">
        <v>16.329999999999998</v>
      </c>
      <c r="H68" s="54">
        <f t="shared" si="1"/>
        <v>4898.9999999999991</v>
      </c>
      <c r="I68" s="55">
        <v>0</v>
      </c>
      <c r="J68" s="75">
        <f t="shared" si="2"/>
        <v>4898.9999999999991</v>
      </c>
      <c r="K68" s="57">
        <f t="shared" si="3"/>
        <v>4776</v>
      </c>
      <c r="L68" s="2">
        <v>47643.360000000001</v>
      </c>
      <c r="M68" s="2">
        <v>47746</v>
      </c>
      <c r="N68" s="22">
        <f>M68-L68</f>
        <v>102.63999999999942</v>
      </c>
    </row>
    <row r="69" spans="1:14" ht="15" x14ac:dyDescent="0.2">
      <c r="A69" s="50" t="s">
        <v>37</v>
      </c>
      <c r="B69" s="51" t="s">
        <v>313</v>
      </c>
      <c r="C69" s="51" t="s">
        <v>345</v>
      </c>
      <c r="D69" s="58" t="s">
        <v>455</v>
      </c>
      <c r="E69" s="53">
        <v>1344</v>
      </c>
      <c r="F69" s="9">
        <v>7.04</v>
      </c>
      <c r="G69" s="10">
        <v>7.54</v>
      </c>
      <c r="H69" s="54">
        <f t="shared" si="1"/>
        <v>10133.76</v>
      </c>
      <c r="I69" s="55">
        <v>0</v>
      </c>
      <c r="J69" s="75">
        <f t="shared" si="2"/>
        <v>10133.76</v>
      </c>
      <c r="K69" s="57">
        <f t="shared" si="3"/>
        <v>9461.76</v>
      </c>
    </row>
    <row r="70" spans="1:14" ht="15" x14ac:dyDescent="0.2">
      <c r="A70" s="50" t="s">
        <v>37</v>
      </c>
      <c r="B70" s="51" t="s">
        <v>315</v>
      </c>
      <c r="C70" s="51"/>
      <c r="D70" s="58" t="s">
        <v>457</v>
      </c>
      <c r="E70" s="53">
        <v>60</v>
      </c>
      <c r="F70" s="9">
        <v>21.33</v>
      </c>
      <c r="G70" s="10">
        <v>22.33</v>
      </c>
      <c r="H70" s="54">
        <f t="shared" ref="H70:H133" si="4">E70*G70</f>
        <v>1339.8</v>
      </c>
      <c r="I70" s="55">
        <v>0</v>
      </c>
      <c r="J70" s="75">
        <f t="shared" ref="J70:J133" si="5">(G70*E70)-I70</f>
        <v>1339.8</v>
      </c>
      <c r="K70" s="57">
        <f t="shared" ref="K70:K133" si="6">E70*F70</f>
        <v>1279.8</v>
      </c>
    </row>
    <row r="71" spans="1:14" ht="15" x14ac:dyDescent="0.2">
      <c r="A71" s="50" t="s">
        <v>37</v>
      </c>
      <c r="B71" s="51" t="s">
        <v>312</v>
      </c>
      <c r="C71" s="51"/>
      <c r="D71" s="58" t="s">
        <v>454</v>
      </c>
      <c r="E71" s="53">
        <v>84</v>
      </c>
      <c r="F71" s="9">
        <v>6.88</v>
      </c>
      <c r="G71" s="10">
        <v>7.54</v>
      </c>
      <c r="H71" s="54">
        <f t="shared" si="4"/>
        <v>633.36</v>
      </c>
      <c r="I71" s="55">
        <v>0</v>
      </c>
      <c r="J71" s="75">
        <f t="shared" si="5"/>
        <v>633.36</v>
      </c>
      <c r="K71" s="57">
        <f t="shared" si="6"/>
        <v>577.91999999999996</v>
      </c>
    </row>
    <row r="72" spans="1:14" ht="15" x14ac:dyDescent="0.2">
      <c r="A72" s="50" t="s">
        <v>37</v>
      </c>
      <c r="B72" s="51" t="s">
        <v>316</v>
      </c>
      <c r="C72" s="51"/>
      <c r="D72" s="58" t="s">
        <v>458</v>
      </c>
      <c r="E72" s="53">
        <v>12</v>
      </c>
      <c r="F72" s="9">
        <v>15.92</v>
      </c>
      <c r="G72" s="10">
        <v>16.329999999999998</v>
      </c>
      <c r="H72" s="54">
        <f t="shared" si="4"/>
        <v>195.95999999999998</v>
      </c>
      <c r="I72" s="55">
        <v>0</v>
      </c>
      <c r="J72" s="75">
        <f t="shared" si="5"/>
        <v>195.95999999999998</v>
      </c>
      <c r="K72" s="57">
        <f t="shared" si="6"/>
        <v>191.04</v>
      </c>
    </row>
    <row r="73" spans="1:14" ht="15" x14ac:dyDescent="0.2">
      <c r="A73" s="50" t="s">
        <v>37</v>
      </c>
      <c r="B73" s="51" t="s">
        <v>317</v>
      </c>
      <c r="C73" s="51"/>
      <c r="D73" s="58" t="s">
        <v>459</v>
      </c>
      <c r="E73" s="53">
        <v>6</v>
      </c>
      <c r="F73" s="9">
        <v>59.17</v>
      </c>
      <c r="G73" s="10">
        <v>60</v>
      </c>
      <c r="H73" s="54">
        <f t="shared" si="4"/>
        <v>360</v>
      </c>
      <c r="I73" s="55">
        <v>0</v>
      </c>
      <c r="J73" s="75">
        <f t="shared" si="5"/>
        <v>360</v>
      </c>
      <c r="K73" s="57">
        <f t="shared" si="6"/>
        <v>355.02</v>
      </c>
    </row>
    <row r="74" spans="1:14" ht="15" x14ac:dyDescent="0.2">
      <c r="A74" s="50" t="s">
        <v>37</v>
      </c>
      <c r="B74" s="51" t="s">
        <v>326</v>
      </c>
      <c r="C74" s="51"/>
      <c r="D74" s="58" t="s">
        <v>468</v>
      </c>
      <c r="E74" s="53">
        <v>1356</v>
      </c>
      <c r="F74" s="9">
        <v>7.04</v>
      </c>
      <c r="G74" s="10">
        <v>7.54</v>
      </c>
      <c r="H74" s="54">
        <f t="shared" si="4"/>
        <v>10224.24</v>
      </c>
      <c r="I74" s="55">
        <v>0</v>
      </c>
      <c r="J74" s="75">
        <f t="shared" si="5"/>
        <v>10224.24</v>
      </c>
      <c r="K74" s="57">
        <f t="shared" si="6"/>
        <v>9546.24</v>
      </c>
    </row>
    <row r="75" spans="1:14" ht="15" x14ac:dyDescent="0.2">
      <c r="A75" s="50" t="s">
        <v>37</v>
      </c>
      <c r="B75" s="51" t="s">
        <v>316</v>
      </c>
      <c r="C75" s="51" t="s">
        <v>346</v>
      </c>
      <c r="D75" s="58" t="s">
        <v>458</v>
      </c>
      <c r="E75" s="53">
        <v>636</v>
      </c>
      <c r="F75" s="9">
        <v>15.92</v>
      </c>
      <c r="G75" s="10">
        <v>16.329999999999998</v>
      </c>
      <c r="H75" s="54">
        <f t="shared" si="4"/>
        <v>10385.879999999999</v>
      </c>
      <c r="I75" s="55">
        <v>0</v>
      </c>
      <c r="J75" s="75">
        <f t="shared" si="5"/>
        <v>10385.879999999999</v>
      </c>
      <c r="K75" s="57">
        <f t="shared" si="6"/>
        <v>10125.120000000001</v>
      </c>
    </row>
    <row r="76" spans="1:14" ht="15" x14ac:dyDescent="0.2">
      <c r="A76" s="50" t="s">
        <v>37</v>
      </c>
      <c r="B76" s="51" t="s">
        <v>323</v>
      </c>
      <c r="C76" s="51"/>
      <c r="D76" s="58" t="s">
        <v>465</v>
      </c>
      <c r="E76" s="53">
        <v>96</v>
      </c>
      <c r="F76" s="9">
        <v>15.92</v>
      </c>
      <c r="G76" s="10">
        <v>16.329999999999998</v>
      </c>
      <c r="H76" s="54">
        <f t="shared" si="4"/>
        <v>1567.6799999999998</v>
      </c>
      <c r="I76" s="55">
        <v>0</v>
      </c>
      <c r="J76" s="75">
        <f t="shared" si="5"/>
        <v>1567.6799999999998</v>
      </c>
      <c r="K76" s="57">
        <f t="shared" si="6"/>
        <v>1528.32</v>
      </c>
    </row>
    <row r="77" spans="1:14" ht="15" x14ac:dyDescent="0.2">
      <c r="A77" s="50" t="s">
        <v>37</v>
      </c>
      <c r="B77" s="51" t="s">
        <v>333</v>
      </c>
      <c r="C77" s="51"/>
      <c r="D77" s="58" t="s">
        <v>475</v>
      </c>
      <c r="E77" s="53">
        <v>36</v>
      </c>
      <c r="F77" s="9">
        <v>15.83</v>
      </c>
      <c r="G77" s="10">
        <v>16.329999999999998</v>
      </c>
      <c r="H77" s="54">
        <f t="shared" si="4"/>
        <v>587.87999999999988</v>
      </c>
      <c r="I77" s="55">
        <v>0</v>
      </c>
      <c r="J77" s="75">
        <f t="shared" si="5"/>
        <v>587.87999999999988</v>
      </c>
      <c r="K77" s="57">
        <f t="shared" si="6"/>
        <v>569.88</v>
      </c>
    </row>
    <row r="78" spans="1:14" ht="15" x14ac:dyDescent="0.2">
      <c r="A78" s="50" t="s">
        <v>37</v>
      </c>
      <c r="B78" s="51" t="s">
        <v>317</v>
      </c>
      <c r="C78" s="51"/>
      <c r="D78" s="58" t="s">
        <v>459</v>
      </c>
      <c r="E78" s="53">
        <v>24</v>
      </c>
      <c r="F78" s="9">
        <v>59.17</v>
      </c>
      <c r="G78" s="10">
        <v>60</v>
      </c>
      <c r="H78" s="54">
        <f t="shared" si="4"/>
        <v>1440</v>
      </c>
      <c r="I78" s="55">
        <v>0</v>
      </c>
      <c r="J78" s="75">
        <f t="shared" si="5"/>
        <v>1440</v>
      </c>
      <c r="K78" s="57">
        <f t="shared" si="6"/>
        <v>1420.08</v>
      </c>
    </row>
    <row r="79" spans="1:14" ht="15" x14ac:dyDescent="0.2">
      <c r="A79" s="50" t="s">
        <v>37</v>
      </c>
      <c r="B79" s="51" t="s">
        <v>318</v>
      </c>
      <c r="C79" s="51"/>
      <c r="D79" s="58" t="s">
        <v>460</v>
      </c>
      <c r="E79" s="53">
        <v>24</v>
      </c>
      <c r="F79" s="9">
        <v>59.17</v>
      </c>
      <c r="G79" s="10">
        <v>60</v>
      </c>
      <c r="H79" s="54">
        <f t="shared" si="4"/>
        <v>1440</v>
      </c>
      <c r="I79" s="55">
        <v>0</v>
      </c>
      <c r="J79" s="75">
        <f t="shared" si="5"/>
        <v>1440</v>
      </c>
      <c r="K79" s="57">
        <f t="shared" si="6"/>
        <v>1420.08</v>
      </c>
    </row>
    <row r="80" spans="1:14" ht="15" x14ac:dyDescent="0.2">
      <c r="A80" s="50" t="s">
        <v>37</v>
      </c>
      <c r="B80" s="51" t="s">
        <v>334</v>
      </c>
      <c r="C80" s="51" t="s">
        <v>347</v>
      </c>
      <c r="D80" s="58" t="s">
        <v>476</v>
      </c>
      <c r="E80" s="53">
        <v>48</v>
      </c>
      <c r="F80" s="9">
        <v>6.88</v>
      </c>
      <c r="G80" s="10">
        <v>7.54</v>
      </c>
      <c r="H80" s="54">
        <f t="shared" si="4"/>
        <v>361.92</v>
      </c>
      <c r="I80" s="55">
        <v>0</v>
      </c>
      <c r="J80" s="75">
        <f t="shared" si="5"/>
        <v>361.92</v>
      </c>
      <c r="K80" s="57">
        <f t="shared" si="6"/>
        <v>330.24</v>
      </c>
    </row>
    <row r="81" spans="1:14" ht="15" x14ac:dyDescent="0.2">
      <c r="A81" s="50" t="s">
        <v>37</v>
      </c>
      <c r="B81" s="51" t="s">
        <v>329</v>
      </c>
      <c r="C81" s="51"/>
      <c r="D81" s="58" t="s">
        <v>471</v>
      </c>
      <c r="E81" s="53">
        <v>168</v>
      </c>
      <c r="F81" s="9">
        <v>21.33</v>
      </c>
      <c r="G81" s="10">
        <v>22.33</v>
      </c>
      <c r="H81" s="54">
        <f t="shared" si="4"/>
        <v>3751.4399999999996</v>
      </c>
      <c r="I81" s="55">
        <v>0</v>
      </c>
      <c r="J81" s="75">
        <f t="shared" si="5"/>
        <v>3751.4399999999996</v>
      </c>
      <c r="K81" s="57">
        <f t="shared" si="6"/>
        <v>3583.4399999999996</v>
      </c>
    </row>
    <row r="82" spans="1:14" ht="15" x14ac:dyDescent="0.2">
      <c r="A82" s="50" t="s">
        <v>37</v>
      </c>
      <c r="B82" s="51" t="s">
        <v>325</v>
      </c>
      <c r="C82" s="51"/>
      <c r="D82" s="58" t="s">
        <v>467</v>
      </c>
      <c r="E82" s="53">
        <v>180</v>
      </c>
      <c r="F82" s="9">
        <v>21.33</v>
      </c>
      <c r="G82" s="10">
        <v>22.33</v>
      </c>
      <c r="H82" s="54">
        <f t="shared" si="4"/>
        <v>4019.3999999999996</v>
      </c>
      <c r="I82" s="55">
        <v>0</v>
      </c>
      <c r="J82" s="75">
        <f t="shared" si="5"/>
        <v>4019.3999999999996</v>
      </c>
      <c r="K82" s="57">
        <f t="shared" si="6"/>
        <v>3839.3999999999996</v>
      </c>
    </row>
    <row r="83" spans="1:14" ht="15" x14ac:dyDescent="0.2">
      <c r="A83" s="50" t="s">
        <v>37</v>
      </c>
      <c r="B83" s="51" t="s">
        <v>317</v>
      </c>
      <c r="C83" s="51"/>
      <c r="D83" s="58" t="s">
        <v>459</v>
      </c>
      <c r="E83" s="53">
        <v>12</v>
      </c>
      <c r="F83" s="9">
        <v>59.17</v>
      </c>
      <c r="G83" s="10">
        <v>60</v>
      </c>
      <c r="H83" s="54">
        <f t="shared" si="4"/>
        <v>720</v>
      </c>
      <c r="I83" s="55">
        <v>0</v>
      </c>
      <c r="J83" s="75">
        <f t="shared" si="5"/>
        <v>720</v>
      </c>
      <c r="K83" s="57">
        <f t="shared" si="6"/>
        <v>710.04</v>
      </c>
    </row>
    <row r="84" spans="1:14" ht="15" x14ac:dyDescent="0.2">
      <c r="A84" s="50" t="s">
        <v>37</v>
      </c>
      <c r="B84" s="51" t="s">
        <v>316</v>
      </c>
      <c r="C84" s="51"/>
      <c r="D84" s="58" t="s">
        <v>458</v>
      </c>
      <c r="E84" s="53">
        <v>480</v>
      </c>
      <c r="F84" s="9">
        <v>15.92</v>
      </c>
      <c r="G84" s="10">
        <v>16.329999999999998</v>
      </c>
      <c r="H84" s="54">
        <f t="shared" si="4"/>
        <v>7838.4</v>
      </c>
      <c r="I84" s="55">
        <v>0</v>
      </c>
      <c r="J84" s="75">
        <f t="shared" si="5"/>
        <v>7838.4</v>
      </c>
      <c r="K84" s="57">
        <f t="shared" si="6"/>
        <v>7641.6</v>
      </c>
    </row>
    <row r="85" spans="1:14" ht="15" x14ac:dyDescent="0.2">
      <c r="A85" s="50" t="s">
        <v>37</v>
      </c>
      <c r="B85" s="51" t="s">
        <v>322</v>
      </c>
      <c r="C85" s="51"/>
      <c r="D85" s="58" t="s">
        <v>464</v>
      </c>
      <c r="E85" s="53">
        <v>336</v>
      </c>
      <c r="F85" s="9">
        <v>15.92</v>
      </c>
      <c r="G85" s="10">
        <v>16.329999999999998</v>
      </c>
      <c r="H85" s="54">
        <f t="shared" si="4"/>
        <v>5486.8799999999992</v>
      </c>
      <c r="I85" s="55">
        <v>0</v>
      </c>
      <c r="J85" s="75">
        <f t="shared" si="5"/>
        <v>5486.8799999999992</v>
      </c>
      <c r="K85" s="57">
        <f t="shared" si="6"/>
        <v>5349.12</v>
      </c>
      <c r="N85" s="59"/>
    </row>
    <row r="86" spans="1:14" ht="15" x14ac:dyDescent="0.2">
      <c r="A86" s="50" t="s">
        <v>37</v>
      </c>
      <c r="B86" s="51" t="s">
        <v>323</v>
      </c>
      <c r="C86" s="51"/>
      <c r="D86" s="58" t="s">
        <v>465</v>
      </c>
      <c r="E86" s="53">
        <v>144</v>
      </c>
      <c r="F86" s="9">
        <v>15.92</v>
      </c>
      <c r="G86" s="10">
        <v>16.329999999999998</v>
      </c>
      <c r="H86" s="54">
        <f t="shared" si="4"/>
        <v>2351.5199999999995</v>
      </c>
      <c r="I86" s="55">
        <v>0</v>
      </c>
      <c r="J86" s="75">
        <f t="shared" si="5"/>
        <v>2351.5199999999995</v>
      </c>
      <c r="K86" s="57">
        <f t="shared" si="6"/>
        <v>2292.48</v>
      </c>
    </row>
    <row r="87" spans="1:14" ht="15" x14ac:dyDescent="0.2">
      <c r="A87" s="50" t="s">
        <v>37</v>
      </c>
      <c r="B87" s="51" t="s">
        <v>312</v>
      </c>
      <c r="C87" s="51"/>
      <c r="D87" s="58" t="s">
        <v>454</v>
      </c>
      <c r="E87" s="53">
        <v>2496</v>
      </c>
      <c r="F87" s="9">
        <v>6.88</v>
      </c>
      <c r="G87" s="10">
        <v>7.54</v>
      </c>
      <c r="H87" s="54">
        <f t="shared" si="4"/>
        <v>18819.84</v>
      </c>
      <c r="I87" s="55">
        <v>0</v>
      </c>
      <c r="J87" s="75">
        <f t="shared" si="5"/>
        <v>18819.84</v>
      </c>
      <c r="K87" s="57">
        <f t="shared" si="6"/>
        <v>17172.48</v>
      </c>
    </row>
    <row r="88" spans="1:14" ht="15" x14ac:dyDescent="0.2">
      <c r="A88" s="50" t="s">
        <v>37</v>
      </c>
      <c r="B88" s="51" t="s">
        <v>313</v>
      </c>
      <c r="C88" s="51"/>
      <c r="D88" s="58" t="s">
        <v>455</v>
      </c>
      <c r="E88" s="53">
        <v>504</v>
      </c>
      <c r="F88" s="9">
        <v>7.04</v>
      </c>
      <c r="G88" s="10">
        <v>7.54</v>
      </c>
      <c r="H88" s="54">
        <f t="shared" si="4"/>
        <v>3800.16</v>
      </c>
      <c r="I88" s="55">
        <v>0</v>
      </c>
      <c r="J88" s="75">
        <f t="shared" si="5"/>
        <v>3800.16</v>
      </c>
      <c r="K88" s="57">
        <f t="shared" si="6"/>
        <v>3548.16</v>
      </c>
      <c r="L88" s="2">
        <v>89801.16</v>
      </c>
      <c r="M88" s="2">
        <v>89819</v>
      </c>
      <c r="N88" s="22">
        <f>M88-L88</f>
        <v>17.839999999996508</v>
      </c>
    </row>
    <row r="89" spans="1:14" ht="15" x14ac:dyDescent="0.2">
      <c r="A89" s="50" t="s">
        <v>37</v>
      </c>
      <c r="B89" s="51" t="s">
        <v>326</v>
      </c>
      <c r="C89" s="51"/>
      <c r="D89" s="58" t="s">
        <v>468</v>
      </c>
      <c r="E89" s="53">
        <v>576</v>
      </c>
      <c r="F89" s="9">
        <v>7.04</v>
      </c>
      <c r="G89" s="10">
        <v>7.54</v>
      </c>
      <c r="H89" s="54">
        <f t="shared" si="4"/>
        <v>4343.04</v>
      </c>
      <c r="I89" s="55">
        <v>0</v>
      </c>
      <c r="J89" s="75">
        <f t="shared" si="5"/>
        <v>4343.04</v>
      </c>
      <c r="K89" s="57">
        <f t="shared" si="6"/>
        <v>4055.04</v>
      </c>
    </row>
    <row r="90" spans="1:14" ht="15" x14ac:dyDescent="0.2">
      <c r="A90" s="50" t="s">
        <v>38</v>
      </c>
      <c r="B90" s="51" t="s">
        <v>317</v>
      </c>
      <c r="C90" s="51" t="s">
        <v>348</v>
      </c>
      <c r="D90" s="58" t="s">
        <v>459</v>
      </c>
      <c r="E90" s="53">
        <v>12</v>
      </c>
      <c r="F90" s="9">
        <v>59.17</v>
      </c>
      <c r="G90" s="10">
        <v>60</v>
      </c>
      <c r="H90" s="54">
        <f t="shared" si="4"/>
        <v>720</v>
      </c>
      <c r="I90" s="55">
        <v>0</v>
      </c>
      <c r="J90" s="75">
        <f t="shared" si="5"/>
        <v>720</v>
      </c>
      <c r="K90" s="57">
        <f t="shared" si="6"/>
        <v>710.04</v>
      </c>
    </row>
    <row r="91" spans="1:14" ht="15" x14ac:dyDescent="0.2">
      <c r="A91" s="50" t="s">
        <v>38</v>
      </c>
      <c r="B91" s="51" t="s">
        <v>319</v>
      </c>
      <c r="C91" s="51"/>
      <c r="D91" s="58" t="s">
        <v>461</v>
      </c>
      <c r="E91" s="53">
        <v>24</v>
      </c>
      <c r="F91" s="9">
        <v>11.58</v>
      </c>
      <c r="G91" s="10">
        <v>12</v>
      </c>
      <c r="H91" s="54">
        <f t="shared" si="4"/>
        <v>288</v>
      </c>
      <c r="I91" s="55">
        <v>0</v>
      </c>
      <c r="J91" s="75">
        <f t="shared" si="5"/>
        <v>288</v>
      </c>
      <c r="K91" s="57">
        <f t="shared" si="6"/>
        <v>277.92</v>
      </c>
    </row>
    <row r="92" spans="1:14" ht="15" x14ac:dyDescent="0.2">
      <c r="A92" s="50" t="s">
        <v>38</v>
      </c>
      <c r="B92" s="51" t="s">
        <v>320</v>
      </c>
      <c r="C92" s="51"/>
      <c r="D92" s="58" t="s">
        <v>462</v>
      </c>
      <c r="E92" s="53">
        <v>24</v>
      </c>
      <c r="F92" s="9">
        <v>11.58</v>
      </c>
      <c r="G92" s="10">
        <v>12</v>
      </c>
      <c r="H92" s="54">
        <f t="shared" si="4"/>
        <v>288</v>
      </c>
      <c r="I92" s="55">
        <v>0</v>
      </c>
      <c r="J92" s="75">
        <f t="shared" si="5"/>
        <v>288</v>
      </c>
      <c r="K92" s="57">
        <f t="shared" si="6"/>
        <v>277.92</v>
      </c>
    </row>
    <row r="93" spans="1:14" ht="15" x14ac:dyDescent="0.2">
      <c r="A93" s="50" t="s">
        <v>38</v>
      </c>
      <c r="B93" s="51" t="s">
        <v>316</v>
      </c>
      <c r="C93" s="51"/>
      <c r="D93" s="58" t="s">
        <v>458</v>
      </c>
      <c r="E93" s="53">
        <v>84</v>
      </c>
      <c r="F93" s="9">
        <v>15.92</v>
      </c>
      <c r="G93" s="10">
        <v>16.329999999999998</v>
      </c>
      <c r="H93" s="54">
        <f t="shared" si="4"/>
        <v>1371.7199999999998</v>
      </c>
      <c r="I93" s="55">
        <v>0</v>
      </c>
      <c r="J93" s="75">
        <f t="shared" si="5"/>
        <v>1371.7199999999998</v>
      </c>
      <c r="K93" s="57">
        <f t="shared" si="6"/>
        <v>1337.28</v>
      </c>
    </row>
    <row r="94" spans="1:14" ht="15" x14ac:dyDescent="0.2">
      <c r="A94" s="50" t="s">
        <v>38</v>
      </c>
      <c r="B94" s="51" t="s">
        <v>322</v>
      </c>
      <c r="C94" s="51"/>
      <c r="D94" s="58" t="s">
        <v>464</v>
      </c>
      <c r="E94" s="53">
        <v>72</v>
      </c>
      <c r="F94" s="9">
        <v>15.92</v>
      </c>
      <c r="G94" s="10">
        <v>16.329999999999998</v>
      </c>
      <c r="H94" s="54">
        <f t="shared" si="4"/>
        <v>1175.7599999999998</v>
      </c>
      <c r="I94" s="55">
        <v>0</v>
      </c>
      <c r="J94" s="75">
        <f t="shared" si="5"/>
        <v>1175.7599999999998</v>
      </c>
      <c r="K94" s="57">
        <f t="shared" si="6"/>
        <v>1146.24</v>
      </c>
    </row>
    <row r="95" spans="1:14" ht="15" x14ac:dyDescent="0.2">
      <c r="A95" s="50" t="s">
        <v>38</v>
      </c>
      <c r="B95" s="51" t="s">
        <v>309</v>
      </c>
      <c r="C95" s="51"/>
      <c r="D95" s="58" t="s">
        <v>451</v>
      </c>
      <c r="E95" s="53">
        <v>12</v>
      </c>
      <c r="F95" s="9">
        <v>36</v>
      </c>
      <c r="G95" s="10">
        <v>37.33</v>
      </c>
      <c r="H95" s="54">
        <f t="shared" si="4"/>
        <v>447.96</v>
      </c>
      <c r="I95" s="55">
        <v>0</v>
      </c>
      <c r="J95" s="75">
        <f t="shared" si="5"/>
        <v>447.96</v>
      </c>
      <c r="K95" s="57">
        <f t="shared" si="6"/>
        <v>432</v>
      </c>
    </row>
    <row r="96" spans="1:14" ht="15" x14ac:dyDescent="0.2">
      <c r="A96" s="50" t="s">
        <v>38</v>
      </c>
      <c r="B96" s="51" t="s">
        <v>324</v>
      </c>
      <c r="C96" s="51"/>
      <c r="D96" s="58" t="s">
        <v>466</v>
      </c>
      <c r="E96" s="53">
        <v>30</v>
      </c>
      <c r="F96" s="9">
        <v>6.67</v>
      </c>
      <c r="G96" s="10">
        <v>7.25</v>
      </c>
      <c r="H96" s="54">
        <f t="shared" si="4"/>
        <v>217.5</v>
      </c>
      <c r="I96" s="55">
        <v>0.94</v>
      </c>
      <c r="J96" s="75">
        <f t="shared" si="5"/>
        <v>216.56</v>
      </c>
      <c r="K96" s="57">
        <f t="shared" si="6"/>
        <v>200.1</v>
      </c>
    </row>
    <row r="97" spans="1:14" ht="15" x14ac:dyDescent="0.2">
      <c r="A97" s="50" t="s">
        <v>38</v>
      </c>
      <c r="B97" s="51" t="s">
        <v>312</v>
      </c>
      <c r="C97" s="51" t="s">
        <v>349</v>
      </c>
      <c r="D97" s="58" t="s">
        <v>454</v>
      </c>
      <c r="E97" s="53">
        <v>48</v>
      </c>
      <c r="F97" s="9">
        <v>6.88</v>
      </c>
      <c r="G97" s="10">
        <v>7.54</v>
      </c>
      <c r="H97" s="54">
        <f t="shared" si="4"/>
        <v>361.92</v>
      </c>
      <c r="I97" s="55">
        <v>0</v>
      </c>
      <c r="J97" s="75">
        <f t="shared" si="5"/>
        <v>361.92</v>
      </c>
      <c r="K97" s="57">
        <f t="shared" si="6"/>
        <v>330.24</v>
      </c>
    </row>
    <row r="98" spans="1:14" ht="15" x14ac:dyDescent="0.2">
      <c r="A98" s="50" t="s">
        <v>38</v>
      </c>
      <c r="B98" s="51" t="s">
        <v>313</v>
      </c>
      <c r="C98" s="51"/>
      <c r="D98" s="58" t="s">
        <v>455</v>
      </c>
      <c r="E98" s="53">
        <v>12</v>
      </c>
      <c r="F98" s="9">
        <v>7.04</v>
      </c>
      <c r="G98" s="10">
        <v>7.54</v>
      </c>
      <c r="H98" s="54">
        <f t="shared" si="4"/>
        <v>90.48</v>
      </c>
      <c r="I98" s="55">
        <v>0</v>
      </c>
      <c r="J98" s="75">
        <f t="shared" si="5"/>
        <v>90.48</v>
      </c>
      <c r="K98" s="57">
        <f t="shared" si="6"/>
        <v>84.48</v>
      </c>
      <c r="N98" s="59"/>
    </row>
    <row r="99" spans="1:14" ht="15" x14ac:dyDescent="0.2">
      <c r="A99" s="50" t="s">
        <v>38</v>
      </c>
      <c r="B99" s="51" t="s">
        <v>314</v>
      </c>
      <c r="C99" s="51"/>
      <c r="D99" s="58" t="s">
        <v>456</v>
      </c>
      <c r="E99" s="53">
        <v>12</v>
      </c>
      <c r="F99" s="9">
        <v>6.88</v>
      </c>
      <c r="G99" s="10">
        <v>7.54</v>
      </c>
      <c r="H99" s="54">
        <f t="shared" si="4"/>
        <v>90.48</v>
      </c>
      <c r="I99" s="55">
        <v>0</v>
      </c>
      <c r="J99" s="75">
        <f t="shared" si="5"/>
        <v>90.48</v>
      </c>
      <c r="K99" s="57">
        <f t="shared" si="6"/>
        <v>82.56</v>
      </c>
    </row>
    <row r="100" spans="1:14" ht="15" x14ac:dyDescent="0.2">
      <c r="A100" s="50" t="s">
        <v>38</v>
      </c>
      <c r="B100" s="51" t="s">
        <v>329</v>
      </c>
      <c r="C100" s="51"/>
      <c r="D100" s="58" t="s">
        <v>471</v>
      </c>
      <c r="E100" s="53">
        <v>6</v>
      </c>
      <c r="F100" s="9">
        <v>21.33</v>
      </c>
      <c r="G100" s="10">
        <v>22.33</v>
      </c>
      <c r="H100" s="54">
        <f t="shared" si="4"/>
        <v>133.97999999999999</v>
      </c>
      <c r="I100" s="55">
        <v>0</v>
      </c>
      <c r="J100" s="75">
        <f t="shared" si="5"/>
        <v>133.97999999999999</v>
      </c>
      <c r="K100" s="57">
        <f t="shared" si="6"/>
        <v>127.97999999999999</v>
      </c>
    </row>
    <row r="101" spans="1:14" ht="15" x14ac:dyDescent="0.2">
      <c r="A101" s="50" t="s">
        <v>38</v>
      </c>
      <c r="B101" s="51" t="s">
        <v>325</v>
      </c>
      <c r="C101" s="51"/>
      <c r="D101" s="58" t="s">
        <v>467</v>
      </c>
      <c r="E101" s="53">
        <v>6</v>
      </c>
      <c r="F101" s="9">
        <v>21.33</v>
      </c>
      <c r="G101" s="10">
        <v>22.33</v>
      </c>
      <c r="H101" s="54">
        <f t="shared" si="4"/>
        <v>133.97999999999999</v>
      </c>
      <c r="I101" s="55">
        <v>0</v>
      </c>
      <c r="J101" s="75">
        <f t="shared" si="5"/>
        <v>133.97999999999999</v>
      </c>
      <c r="K101" s="57">
        <f t="shared" si="6"/>
        <v>127.97999999999999</v>
      </c>
    </row>
    <row r="102" spans="1:14" ht="15" x14ac:dyDescent="0.2">
      <c r="A102" s="50" t="s">
        <v>38</v>
      </c>
      <c r="B102" s="51" t="s">
        <v>317</v>
      </c>
      <c r="C102" s="51"/>
      <c r="D102" s="58" t="s">
        <v>459</v>
      </c>
      <c r="E102" s="53">
        <v>6</v>
      </c>
      <c r="F102" s="9">
        <v>59.17</v>
      </c>
      <c r="G102" s="10">
        <v>60</v>
      </c>
      <c r="H102" s="54">
        <f t="shared" si="4"/>
        <v>360</v>
      </c>
      <c r="I102" s="55">
        <v>0</v>
      </c>
      <c r="J102" s="75">
        <f t="shared" si="5"/>
        <v>360</v>
      </c>
      <c r="K102" s="57">
        <f t="shared" si="6"/>
        <v>355.02</v>
      </c>
    </row>
    <row r="103" spans="1:14" ht="15" x14ac:dyDescent="0.2">
      <c r="A103" s="50" t="s">
        <v>38</v>
      </c>
      <c r="B103" s="51" t="s">
        <v>323</v>
      </c>
      <c r="C103" s="51"/>
      <c r="D103" s="58" t="s">
        <v>465</v>
      </c>
      <c r="E103" s="53">
        <v>12</v>
      </c>
      <c r="F103" s="9">
        <v>15.92</v>
      </c>
      <c r="G103" s="10">
        <v>16.329999999999998</v>
      </c>
      <c r="H103" s="54">
        <f t="shared" si="4"/>
        <v>195.95999999999998</v>
      </c>
      <c r="I103" s="55">
        <v>0</v>
      </c>
      <c r="J103" s="75">
        <f t="shared" si="5"/>
        <v>195.95999999999998</v>
      </c>
      <c r="K103" s="57">
        <f t="shared" si="6"/>
        <v>191.04</v>
      </c>
    </row>
    <row r="104" spans="1:14" ht="15" x14ac:dyDescent="0.2">
      <c r="A104" s="50" t="s">
        <v>38</v>
      </c>
      <c r="B104" s="51" t="s">
        <v>329</v>
      </c>
      <c r="C104" s="51" t="s">
        <v>350</v>
      </c>
      <c r="D104" s="58" t="s">
        <v>471</v>
      </c>
      <c r="E104" s="53">
        <v>24</v>
      </c>
      <c r="F104" s="9">
        <v>21.33</v>
      </c>
      <c r="G104" s="10">
        <v>22.33</v>
      </c>
      <c r="H104" s="54">
        <f t="shared" si="4"/>
        <v>535.91999999999996</v>
      </c>
      <c r="I104" s="55">
        <v>0</v>
      </c>
      <c r="J104" s="75">
        <f t="shared" si="5"/>
        <v>535.91999999999996</v>
      </c>
      <c r="K104" s="57">
        <f t="shared" si="6"/>
        <v>511.91999999999996</v>
      </c>
    </row>
    <row r="105" spans="1:14" ht="15" x14ac:dyDescent="0.2">
      <c r="A105" s="50" t="s">
        <v>38</v>
      </c>
      <c r="B105" s="51" t="s">
        <v>325</v>
      </c>
      <c r="C105" s="51"/>
      <c r="D105" s="58" t="s">
        <v>467</v>
      </c>
      <c r="E105" s="53">
        <v>12</v>
      </c>
      <c r="F105" s="9">
        <v>21.33</v>
      </c>
      <c r="G105" s="10">
        <v>22.33</v>
      </c>
      <c r="H105" s="54">
        <f t="shared" si="4"/>
        <v>267.95999999999998</v>
      </c>
      <c r="I105" s="55">
        <v>0</v>
      </c>
      <c r="J105" s="75">
        <f t="shared" si="5"/>
        <v>267.95999999999998</v>
      </c>
      <c r="K105" s="57">
        <f t="shared" si="6"/>
        <v>255.95999999999998</v>
      </c>
    </row>
    <row r="106" spans="1:14" ht="15" x14ac:dyDescent="0.2">
      <c r="A106" s="50" t="s">
        <v>38</v>
      </c>
      <c r="B106" s="51" t="s">
        <v>312</v>
      </c>
      <c r="C106" s="51"/>
      <c r="D106" s="58" t="s">
        <v>454</v>
      </c>
      <c r="E106" s="53">
        <v>48</v>
      </c>
      <c r="F106" s="9">
        <v>6.88</v>
      </c>
      <c r="G106" s="10">
        <v>7.54</v>
      </c>
      <c r="H106" s="54">
        <f t="shared" si="4"/>
        <v>361.92</v>
      </c>
      <c r="I106" s="55">
        <v>0</v>
      </c>
      <c r="J106" s="75">
        <f t="shared" si="5"/>
        <v>361.92</v>
      </c>
      <c r="K106" s="57">
        <f t="shared" si="6"/>
        <v>330.24</v>
      </c>
    </row>
    <row r="107" spans="1:14" ht="15" x14ac:dyDescent="0.2">
      <c r="A107" s="50" t="s">
        <v>38</v>
      </c>
      <c r="B107" s="51" t="s">
        <v>313</v>
      </c>
      <c r="C107" s="51"/>
      <c r="D107" s="58" t="s">
        <v>455</v>
      </c>
      <c r="E107" s="53">
        <v>24</v>
      </c>
      <c r="F107" s="9">
        <v>7.04</v>
      </c>
      <c r="G107" s="10">
        <v>7.54</v>
      </c>
      <c r="H107" s="54">
        <f t="shared" si="4"/>
        <v>180.96</v>
      </c>
      <c r="I107" s="55">
        <v>0</v>
      </c>
      <c r="J107" s="75">
        <f t="shared" si="5"/>
        <v>180.96</v>
      </c>
      <c r="K107" s="57">
        <f t="shared" si="6"/>
        <v>168.96</v>
      </c>
    </row>
    <row r="108" spans="1:14" ht="15" x14ac:dyDescent="0.2">
      <c r="A108" s="50" t="s">
        <v>38</v>
      </c>
      <c r="B108" s="51" t="s">
        <v>317</v>
      </c>
      <c r="C108" s="51"/>
      <c r="D108" s="58" t="s">
        <v>459</v>
      </c>
      <c r="E108" s="53">
        <v>12</v>
      </c>
      <c r="F108" s="9">
        <v>59.17</v>
      </c>
      <c r="G108" s="10">
        <v>60</v>
      </c>
      <c r="H108" s="54">
        <f t="shared" si="4"/>
        <v>720</v>
      </c>
      <c r="I108" s="55">
        <v>0</v>
      </c>
      <c r="J108" s="75">
        <f t="shared" si="5"/>
        <v>720</v>
      </c>
      <c r="K108" s="57">
        <f t="shared" si="6"/>
        <v>710.04</v>
      </c>
    </row>
    <row r="109" spans="1:14" ht="15" x14ac:dyDescent="0.2">
      <c r="A109" s="50" t="s">
        <v>38</v>
      </c>
      <c r="B109" s="51" t="s">
        <v>318</v>
      </c>
      <c r="C109" s="51"/>
      <c r="D109" s="58" t="s">
        <v>460</v>
      </c>
      <c r="E109" s="53">
        <v>6</v>
      </c>
      <c r="F109" s="9">
        <v>59.17</v>
      </c>
      <c r="G109" s="10">
        <v>60</v>
      </c>
      <c r="H109" s="54">
        <f t="shared" si="4"/>
        <v>360</v>
      </c>
      <c r="I109" s="55">
        <v>0</v>
      </c>
      <c r="J109" s="75">
        <f t="shared" si="5"/>
        <v>360</v>
      </c>
      <c r="K109" s="57">
        <f t="shared" si="6"/>
        <v>355.02</v>
      </c>
    </row>
    <row r="110" spans="1:14" ht="15" x14ac:dyDescent="0.2">
      <c r="A110" s="50" t="s">
        <v>38</v>
      </c>
      <c r="B110" s="51" t="s">
        <v>329</v>
      </c>
      <c r="C110" s="51" t="s">
        <v>351</v>
      </c>
      <c r="D110" s="58" t="s">
        <v>471</v>
      </c>
      <c r="E110" s="53">
        <v>36</v>
      </c>
      <c r="F110" s="9">
        <v>21.33</v>
      </c>
      <c r="G110" s="10">
        <v>22.33</v>
      </c>
      <c r="H110" s="54">
        <f t="shared" si="4"/>
        <v>803.87999999999988</v>
      </c>
      <c r="I110" s="55">
        <v>0</v>
      </c>
      <c r="J110" s="75">
        <f t="shared" si="5"/>
        <v>803.87999999999988</v>
      </c>
      <c r="K110" s="57">
        <f t="shared" si="6"/>
        <v>767.87999999999988</v>
      </c>
    </row>
    <row r="111" spans="1:14" ht="15" x14ac:dyDescent="0.2">
      <c r="A111" s="50" t="s">
        <v>38</v>
      </c>
      <c r="B111" s="51" t="s">
        <v>325</v>
      </c>
      <c r="C111" s="51"/>
      <c r="D111" s="58" t="s">
        <v>467</v>
      </c>
      <c r="E111" s="53">
        <v>36</v>
      </c>
      <c r="F111" s="9">
        <v>21.33</v>
      </c>
      <c r="G111" s="10">
        <v>22.33</v>
      </c>
      <c r="H111" s="54">
        <f t="shared" si="4"/>
        <v>803.87999999999988</v>
      </c>
      <c r="I111" s="55">
        <v>0</v>
      </c>
      <c r="J111" s="75">
        <f t="shared" si="5"/>
        <v>803.87999999999988</v>
      </c>
      <c r="K111" s="57">
        <f t="shared" si="6"/>
        <v>767.87999999999988</v>
      </c>
    </row>
    <row r="112" spans="1:14" ht="15" x14ac:dyDescent="0.2">
      <c r="A112" s="50" t="s">
        <v>38</v>
      </c>
      <c r="B112" s="51" t="s">
        <v>312</v>
      </c>
      <c r="C112" s="51"/>
      <c r="D112" s="58" t="s">
        <v>454</v>
      </c>
      <c r="E112" s="53">
        <v>120</v>
      </c>
      <c r="F112" s="9">
        <v>6.88</v>
      </c>
      <c r="G112" s="10">
        <v>7.54</v>
      </c>
      <c r="H112" s="54">
        <f t="shared" si="4"/>
        <v>904.8</v>
      </c>
      <c r="I112" s="55">
        <v>0</v>
      </c>
      <c r="J112" s="75">
        <f t="shared" si="5"/>
        <v>904.8</v>
      </c>
      <c r="K112" s="57">
        <f t="shared" si="6"/>
        <v>825.6</v>
      </c>
    </row>
    <row r="113" spans="1:14" ht="15" x14ac:dyDescent="0.2">
      <c r="A113" s="50" t="s">
        <v>38</v>
      </c>
      <c r="B113" s="51" t="s">
        <v>329</v>
      </c>
      <c r="C113" s="51" t="s">
        <v>352</v>
      </c>
      <c r="D113" s="58" t="s">
        <v>471</v>
      </c>
      <c r="E113" s="53">
        <v>6</v>
      </c>
      <c r="F113" s="9">
        <v>21.33</v>
      </c>
      <c r="G113" s="10">
        <v>22.33</v>
      </c>
      <c r="H113" s="54">
        <f t="shared" si="4"/>
        <v>133.97999999999999</v>
      </c>
      <c r="I113" s="55">
        <v>0</v>
      </c>
      <c r="J113" s="75">
        <f t="shared" si="5"/>
        <v>133.97999999999999</v>
      </c>
      <c r="K113" s="57">
        <f t="shared" si="6"/>
        <v>127.97999999999999</v>
      </c>
    </row>
    <row r="114" spans="1:14" ht="15" x14ac:dyDescent="0.2">
      <c r="A114" s="50" t="s">
        <v>38</v>
      </c>
      <c r="B114" s="51" t="s">
        <v>325</v>
      </c>
      <c r="C114" s="51"/>
      <c r="D114" s="58" t="s">
        <v>467</v>
      </c>
      <c r="E114" s="53">
        <v>6</v>
      </c>
      <c r="F114" s="9">
        <v>21.33</v>
      </c>
      <c r="G114" s="10">
        <v>22.33</v>
      </c>
      <c r="H114" s="54">
        <f t="shared" si="4"/>
        <v>133.97999999999999</v>
      </c>
      <c r="I114" s="55">
        <v>0</v>
      </c>
      <c r="J114" s="75">
        <f t="shared" si="5"/>
        <v>133.97999999999999</v>
      </c>
      <c r="K114" s="57">
        <f t="shared" si="6"/>
        <v>127.97999999999999</v>
      </c>
      <c r="N114" s="59"/>
    </row>
    <row r="115" spans="1:14" ht="15" x14ac:dyDescent="0.2">
      <c r="A115" s="50" t="s">
        <v>38</v>
      </c>
      <c r="B115" s="51" t="s">
        <v>312</v>
      </c>
      <c r="C115" s="51"/>
      <c r="D115" s="58" t="s">
        <v>454</v>
      </c>
      <c r="E115" s="53">
        <v>12</v>
      </c>
      <c r="F115" s="9">
        <v>6.88</v>
      </c>
      <c r="G115" s="10">
        <v>7.54</v>
      </c>
      <c r="H115" s="54">
        <f t="shared" si="4"/>
        <v>90.48</v>
      </c>
      <c r="I115" s="55">
        <v>0</v>
      </c>
      <c r="J115" s="75">
        <f t="shared" si="5"/>
        <v>90.48</v>
      </c>
      <c r="K115" s="57">
        <f t="shared" si="6"/>
        <v>82.56</v>
      </c>
    </row>
    <row r="116" spans="1:14" ht="15" x14ac:dyDescent="0.2">
      <c r="A116" s="50" t="s">
        <v>38</v>
      </c>
      <c r="B116" s="51" t="s">
        <v>313</v>
      </c>
      <c r="C116" s="51"/>
      <c r="D116" s="58" t="s">
        <v>455</v>
      </c>
      <c r="E116" s="53">
        <v>12</v>
      </c>
      <c r="F116" s="9">
        <v>7.04</v>
      </c>
      <c r="G116" s="10">
        <v>7.54</v>
      </c>
      <c r="H116" s="54">
        <f t="shared" si="4"/>
        <v>90.48</v>
      </c>
      <c r="I116" s="55">
        <v>0</v>
      </c>
      <c r="J116" s="75">
        <f t="shared" si="5"/>
        <v>90.48</v>
      </c>
      <c r="K116" s="57">
        <f t="shared" si="6"/>
        <v>84.48</v>
      </c>
    </row>
    <row r="117" spans="1:14" ht="15" x14ac:dyDescent="0.2">
      <c r="A117" s="50" t="s">
        <v>38</v>
      </c>
      <c r="B117" s="51" t="s">
        <v>322</v>
      </c>
      <c r="C117" s="51"/>
      <c r="D117" s="58" t="s">
        <v>464</v>
      </c>
      <c r="E117" s="53">
        <v>12</v>
      </c>
      <c r="F117" s="9">
        <v>15.92</v>
      </c>
      <c r="G117" s="10">
        <v>16.329999999999998</v>
      </c>
      <c r="H117" s="54">
        <f t="shared" si="4"/>
        <v>195.95999999999998</v>
      </c>
      <c r="I117" s="55">
        <v>0</v>
      </c>
      <c r="J117" s="75">
        <f t="shared" si="5"/>
        <v>195.95999999999998</v>
      </c>
      <c r="K117" s="57">
        <f t="shared" si="6"/>
        <v>191.04</v>
      </c>
    </row>
    <row r="118" spans="1:14" ht="15" x14ac:dyDescent="0.2">
      <c r="A118" s="50" t="s">
        <v>38</v>
      </c>
      <c r="B118" s="51" t="s">
        <v>323</v>
      </c>
      <c r="C118" s="51"/>
      <c r="D118" s="58" t="s">
        <v>465</v>
      </c>
      <c r="E118" s="53">
        <v>12</v>
      </c>
      <c r="F118" s="9">
        <v>15.92</v>
      </c>
      <c r="G118" s="10">
        <v>16.329999999999998</v>
      </c>
      <c r="H118" s="54">
        <f t="shared" si="4"/>
        <v>195.95999999999998</v>
      </c>
      <c r="I118" s="55">
        <v>0</v>
      </c>
      <c r="J118" s="75">
        <f t="shared" si="5"/>
        <v>195.95999999999998</v>
      </c>
      <c r="K118" s="57">
        <f t="shared" si="6"/>
        <v>191.04</v>
      </c>
    </row>
    <row r="119" spans="1:14" ht="15" x14ac:dyDescent="0.2">
      <c r="A119" s="50" t="s">
        <v>38</v>
      </c>
      <c r="B119" s="51" t="s">
        <v>316</v>
      </c>
      <c r="C119" s="51"/>
      <c r="D119" s="58" t="s">
        <v>458</v>
      </c>
      <c r="E119" s="53">
        <v>24</v>
      </c>
      <c r="F119" s="9">
        <v>15.92</v>
      </c>
      <c r="G119" s="10">
        <v>16.329999999999998</v>
      </c>
      <c r="H119" s="54">
        <f t="shared" si="4"/>
        <v>391.91999999999996</v>
      </c>
      <c r="I119" s="55">
        <v>0</v>
      </c>
      <c r="J119" s="75">
        <f t="shared" si="5"/>
        <v>391.91999999999996</v>
      </c>
      <c r="K119" s="57">
        <f t="shared" si="6"/>
        <v>382.08</v>
      </c>
      <c r="N119" s="59"/>
    </row>
    <row r="120" spans="1:14" ht="15" x14ac:dyDescent="0.2">
      <c r="A120" s="50" t="s">
        <v>38</v>
      </c>
      <c r="B120" s="51" t="s">
        <v>319</v>
      </c>
      <c r="C120" s="51"/>
      <c r="D120" s="58" t="s">
        <v>461</v>
      </c>
      <c r="E120" s="53">
        <v>12</v>
      </c>
      <c r="F120" s="9">
        <v>11.58</v>
      </c>
      <c r="G120" s="10">
        <v>12</v>
      </c>
      <c r="H120" s="54">
        <f t="shared" si="4"/>
        <v>144</v>
      </c>
      <c r="I120" s="55">
        <v>0</v>
      </c>
      <c r="J120" s="75">
        <f t="shared" si="5"/>
        <v>144</v>
      </c>
      <c r="K120" s="57">
        <f t="shared" si="6"/>
        <v>138.96</v>
      </c>
    </row>
    <row r="121" spans="1:14" ht="15" x14ac:dyDescent="0.2">
      <c r="A121" s="50" t="s">
        <v>38</v>
      </c>
      <c r="B121" s="51" t="s">
        <v>320</v>
      </c>
      <c r="C121" s="51"/>
      <c r="D121" s="58" t="s">
        <v>462</v>
      </c>
      <c r="E121" s="53">
        <v>12</v>
      </c>
      <c r="F121" s="9">
        <v>11.58</v>
      </c>
      <c r="G121" s="10">
        <v>12</v>
      </c>
      <c r="H121" s="54">
        <f t="shared" si="4"/>
        <v>144</v>
      </c>
      <c r="I121" s="55">
        <v>0</v>
      </c>
      <c r="J121" s="75">
        <f t="shared" si="5"/>
        <v>144</v>
      </c>
      <c r="K121" s="57">
        <f t="shared" si="6"/>
        <v>138.96</v>
      </c>
    </row>
    <row r="122" spans="1:14" ht="15" x14ac:dyDescent="0.2">
      <c r="A122" s="50" t="s">
        <v>38</v>
      </c>
      <c r="B122" s="51" t="s">
        <v>321</v>
      </c>
      <c r="C122" s="51"/>
      <c r="D122" s="58" t="s">
        <v>463</v>
      </c>
      <c r="E122" s="53">
        <v>12</v>
      </c>
      <c r="F122" s="9">
        <v>11.5</v>
      </c>
      <c r="G122" s="10">
        <v>12</v>
      </c>
      <c r="H122" s="54">
        <f t="shared" si="4"/>
        <v>144</v>
      </c>
      <c r="I122" s="55">
        <v>0</v>
      </c>
      <c r="J122" s="75">
        <f t="shared" si="5"/>
        <v>144</v>
      </c>
      <c r="K122" s="57">
        <f t="shared" si="6"/>
        <v>138</v>
      </c>
    </row>
    <row r="123" spans="1:14" ht="15" x14ac:dyDescent="0.2">
      <c r="A123" s="50" t="s">
        <v>38</v>
      </c>
      <c r="B123" s="51" t="s">
        <v>329</v>
      </c>
      <c r="C123" s="51" t="s">
        <v>353</v>
      </c>
      <c r="D123" s="58" t="s">
        <v>471</v>
      </c>
      <c r="E123" s="53">
        <v>6</v>
      </c>
      <c r="F123" s="9">
        <v>21.33</v>
      </c>
      <c r="G123" s="10">
        <v>22.33</v>
      </c>
      <c r="H123" s="54">
        <f t="shared" si="4"/>
        <v>133.97999999999999</v>
      </c>
      <c r="I123" s="55">
        <v>0</v>
      </c>
      <c r="J123" s="75">
        <f t="shared" si="5"/>
        <v>133.97999999999999</v>
      </c>
      <c r="K123" s="57">
        <f t="shared" si="6"/>
        <v>127.97999999999999</v>
      </c>
    </row>
    <row r="124" spans="1:14" ht="15" x14ac:dyDescent="0.2">
      <c r="A124" s="50" t="s">
        <v>38</v>
      </c>
      <c r="B124" s="51" t="s">
        <v>325</v>
      </c>
      <c r="C124" s="51"/>
      <c r="D124" s="58" t="s">
        <v>467</v>
      </c>
      <c r="E124" s="53">
        <v>6</v>
      </c>
      <c r="F124" s="9">
        <v>21.33</v>
      </c>
      <c r="G124" s="10">
        <v>22.33</v>
      </c>
      <c r="H124" s="54">
        <f t="shared" si="4"/>
        <v>133.97999999999999</v>
      </c>
      <c r="I124" s="55">
        <v>0</v>
      </c>
      <c r="J124" s="75">
        <f t="shared" si="5"/>
        <v>133.97999999999999</v>
      </c>
      <c r="K124" s="57">
        <f t="shared" si="6"/>
        <v>127.97999999999999</v>
      </c>
    </row>
    <row r="125" spans="1:14" ht="15" x14ac:dyDescent="0.2">
      <c r="A125" s="50" t="s">
        <v>38</v>
      </c>
      <c r="B125" s="51" t="s">
        <v>319</v>
      </c>
      <c r="C125" s="51"/>
      <c r="D125" s="58" t="s">
        <v>461</v>
      </c>
      <c r="E125" s="53">
        <v>12</v>
      </c>
      <c r="F125" s="9">
        <v>11.58</v>
      </c>
      <c r="G125" s="10">
        <v>12</v>
      </c>
      <c r="H125" s="54">
        <f t="shared" si="4"/>
        <v>144</v>
      </c>
      <c r="I125" s="55">
        <v>0</v>
      </c>
      <c r="J125" s="75">
        <f t="shared" si="5"/>
        <v>144</v>
      </c>
      <c r="K125" s="57">
        <f t="shared" si="6"/>
        <v>138.96</v>
      </c>
    </row>
    <row r="126" spans="1:14" ht="15" x14ac:dyDescent="0.2">
      <c r="A126" s="50" t="s">
        <v>38</v>
      </c>
      <c r="B126" s="51" t="s">
        <v>320</v>
      </c>
      <c r="C126" s="51"/>
      <c r="D126" s="58" t="s">
        <v>462</v>
      </c>
      <c r="E126" s="53">
        <v>12</v>
      </c>
      <c r="F126" s="9">
        <v>11.58</v>
      </c>
      <c r="G126" s="10">
        <v>12</v>
      </c>
      <c r="H126" s="54">
        <f t="shared" si="4"/>
        <v>144</v>
      </c>
      <c r="I126" s="55">
        <v>0</v>
      </c>
      <c r="J126" s="75">
        <f t="shared" si="5"/>
        <v>144</v>
      </c>
      <c r="K126" s="57">
        <f t="shared" si="6"/>
        <v>138.96</v>
      </c>
    </row>
    <row r="127" spans="1:14" ht="15" x14ac:dyDescent="0.2">
      <c r="A127" s="50" t="s">
        <v>38</v>
      </c>
      <c r="B127" s="51" t="s">
        <v>321</v>
      </c>
      <c r="C127" s="51"/>
      <c r="D127" s="58" t="s">
        <v>463</v>
      </c>
      <c r="E127" s="53">
        <v>12</v>
      </c>
      <c r="F127" s="9">
        <v>11.5</v>
      </c>
      <c r="G127" s="10">
        <v>12</v>
      </c>
      <c r="H127" s="54">
        <f t="shared" si="4"/>
        <v>144</v>
      </c>
      <c r="I127" s="55">
        <v>0</v>
      </c>
      <c r="J127" s="75">
        <f t="shared" si="5"/>
        <v>144</v>
      </c>
      <c r="K127" s="57">
        <f t="shared" si="6"/>
        <v>138</v>
      </c>
    </row>
    <row r="128" spans="1:14" ht="15" x14ac:dyDescent="0.2">
      <c r="A128" s="50" t="s">
        <v>38</v>
      </c>
      <c r="B128" s="51" t="s">
        <v>316</v>
      </c>
      <c r="C128" s="51"/>
      <c r="D128" s="58" t="s">
        <v>458</v>
      </c>
      <c r="E128" s="53">
        <v>12</v>
      </c>
      <c r="F128" s="9">
        <v>15.92</v>
      </c>
      <c r="G128" s="10">
        <v>16.329999999999998</v>
      </c>
      <c r="H128" s="54">
        <f t="shared" si="4"/>
        <v>195.95999999999998</v>
      </c>
      <c r="I128" s="55">
        <v>0</v>
      </c>
      <c r="J128" s="75">
        <f t="shared" si="5"/>
        <v>195.95999999999998</v>
      </c>
      <c r="K128" s="57">
        <f t="shared" si="6"/>
        <v>191.04</v>
      </c>
    </row>
    <row r="129" spans="1:14" ht="15" x14ac:dyDescent="0.2">
      <c r="A129" s="50" t="s">
        <v>38</v>
      </c>
      <c r="B129" s="51" t="s">
        <v>322</v>
      </c>
      <c r="C129" s="51"/>
      <c r="D129" s="58" t="s">
        <v>464</v>
      </c>
      <c r="E129" s="53">
        <v>12</v>
      </c>
      <c r="F129" s="9">
        <v>15.92</v>
      </c>
      <c r="G129" s="10">
        <v>16.329999999999998</v>
      </c>
      <c r="H129" s="54">
        <f t="shared" si="4"/>
        <v>195.95999999999998</v>
      </c>
      <c r="I129" s="55">
        <v>0</v>
      </c>
      <c r="J129" s="75">
        <f t="shared" si="5"/>
        <v>195.95999999999998</v>
      </c>
      <c r="K129" s="57">
        <f t="shared" si="6"/>
        <v>191.04</v>
      </c>
    </row>
    <row r="130" spans="1:14" ht="15" x14ac:dyDescent="0.2">
      <c r="A130" s="50" t="s">
        <v>38</v>
      </c>
      <c r="B130" s="51" t="s">
        <v>323</v>
      </c>
      <c r="C130" s="51"/>
      <c r="D130" s="58" t="s">
        <v>465</v>
      </c>
      <c r="E130" s="53">
        <v>12</v>
      </c>
      <c r="F130" s="9">
        <v>15.92</v>
      </c>
      <c r="G130" s="10">
        <v>16.329999999999998</v>
      </c>
      <c r="H130" s="54">
        <f t="shared" si="4"/>
        <v>195.95999999999998</v>
      </c>
      <c r="I130" s="55">
        <v>0</v>
      </c>
      <c r="J130" s="75">
        <f t="shared" si="5"/>
        <v>195.95999999999998</v>
      </c>
      <c r="K130" s="57">
        <f t="shared" si="6"/>
        <v>191.04</v>
      </c>
    </row>
    <row r="131" spans="1:14" ht="15" x14ac:dyDescent="0.2">
      <c r="A131" s="50" t="s">
        <v>38</v>
      </c>
      <c r="B131" s="51" t="s">
        <v>332</v>
      </c>
      <c r="C131" s="51"/>
      <c r="D131" s="58" t="s">
        <v>474</v>
      </c>
      <c r="E131" s="53">
        <v>12</v>
      </c>
      <c r="F131" s="9">
        <v>14.58</v>
      </c>
      <c r="G131" s="10">
        <v>15.92</v>
      </c>
      <c r="H131" s="54">
        <f t="shared" si="4"/>
        <v>191.04</v>
      </c>
      <c r="I131" s="55">
        <v>0</v>
      </c>
      <c r="J131" s="75">
        <f t="shared" si="5"/>
        <v>191.04</v>
      </c>
      <c r="K131" s="57">
        <f t="shared" si="6"/>
        <v>174.96</v>
      </c>
    </row>
    <row r="132" spans="1:14" ht="15" x14ac:dyDescent="0.2">
      <c r="A132" s="50" t="s">
        <v>38</v>
      </c>
      <c r="B132" s="51" t="s">
        <v>324</v>
      </c>
      <c r="C132" s="51"/>
      <c r="D132" s="58" t="s">
        <v>466</v>
      </c>
      <c r="E132" s="53">
        <v>30</v>
      </c>
      <c r="F132" s="9">
        <v>6.67</v>
      </c>
      <c r="G132" s="10">
        <v>7.25</v>
      </c>
      <c r="H132" s="54">
        <f t="shared" si="4"/>
        <v>217.5</v>
      </c>
      <c r="I132" s="55">
        <v>0</v>
      </c>
      <c r="J132" s="75">
        <f t="shared" si="5"/>
        <v>217.5</v>
      </c>
      <c r="K132" s="57">
        <f t="shared" si="6"/>
        <v>200.1</v>
      </c>
    </row>
    <row r="133" spans="1:14" ht="15" x14ac:dyDescent="0.2">
      <c r="A133" s="50" t="s">
        <v>38</v>
      </c>
      <c r="B133" s="51" t="s">
        <v>331</v>
      </c>
      <c r="C133" s="51"/>
      <c r="D133" s="58" t="s">
        <v>473</v>
      </c>
      <c r="E133" s="53">
        <v>24</v>
      </c>
      <c r="F133" s="9">
        <v>8.7100000000000009</v>
      </c>
      <c r="G133" s="10">
        <v>9.3800000000000008</v>
      </c>
      <c r="H133" s="54">
        <f t="shared" si="4"/>
        <v>225.12</v>
      </c>
      <c r="I133" s="55">
        <v>1.5</v>
      </c>
      <c r="J133" s="75">
        <f t="shared" si="5"/>
        <v>223.62</v>
      </c>
      <c r="K133" s="57">
        <f t="shared" si="6"/>
        <v>209.04000000000002</v>
      </c>
    </row>
    <row r="134" spans="1:14" ht="15" x14ac:dyDescent="0.2">
      <c r="A134" s="50" t="s">
        <v>38</v>
      </c>
      <c r="B134" s="51" t="s">
        <v>328</v>
      </c>
      <c r="C134" s="51" t="s">
        <v>354</v>
      </c>
      <c r="D134" s="58" t="s">
        <v>470</v>
      </c>
      <c r="E134" s="53">
        <v>6</v>
      </c>
      <c r="F134" s="9">
        <v>59.17</v>
      </c>
      <c r="G134" s="10">
        <v>60</v>
      </c>
      <c r="H134" s="54">
        <f t="shared" ref="H134:H197" si="7">E134*G134</f>
        <v>360</v>
      </c>
      <c r="I134" s="55">
        <v>0</v>
      </c>
      <c r="J134" s="75">
        <f t="shared" ref="J134:J197" si="8">(G134*E134)-I134</f>
        <v>360</v>
      </c>
      <c r="K134" s="57">
        <f t="shared" ref="K134:K197" si="9">E134*F134</f>
        <v>355.02</v>
      </c>
    </row>
    <row r="135" spans="1:14" ht="15" x14ac:dyDescent="0.2">
      <c r="A135" s="50" t="s">
        <v>38</v>
      </c>
      <c r="B135" s="51" t="s">
        <v>318</v>
      </c>
      <c r="C135" s="51"/>
      <c r="D135" s="58" t="s">
        <v>460</v>
      </c>
      <c r="E135" s="53">
        <v>6</v>
      </c>
      <c r="F135" s="9">
        <v>59.17</v>
      </c>
      <c r="G135" s="10">
        <v>60</v>
      </c>
      <c r="H135" s="54">
        <f t="shared" si="7"/>
        <v>360</v>
      </c>
      <c r="I135" s="55">
        <v>0</v>
      </c>
      <c r="J135" s="75">
        <f t="shared" si="8"/>
        <v>360</v>
      </c>
      <c r="K135" s="57">
        <f t="shared" si="9"/>
        <v>355.02</v>
      </c>
    </row>
    <row r="136" spans="1:14" ht="15" x14ac:dyDescent="0.2">
      <c r="A136" s="50" t="s">
        <v>38</v>
      </c>
      <c r="B136" s="51" t="s">
        <v>312</v>
      </c>
      <c r="C136" s="51" t="s">
        <v>355</v>
      </c>
      <c r="D136" s="58" t="s">
        <v>454</v>
      </c>
      <c r="E136" s="53">
        <v>24</v>
      </c>
      <c r="F136" s="9">
        <v>6.88</v>
      </c>
      <c r="G136" s="10">
        <v>7.54</v>
      </c>
      <c r="H136" s="54">
        <f t="shared" si="7"/>
        <v>180.96</v>
      </c>
      <c r="I136" s="55">
        <v>0</v>
      </c>
      <c r="J136" s="75">
        <f t="shared" si="8"/>
        <v>180.96</v>
      </c>
      <c r="K136" s="57">
        <f t="shared" si="9"/>
        <v>165.12</v>
      </c>
    </row>
    <row r="137" spans="1:14" ht="15" x14ac:dyDescent="0.2">
      <c r="A137" s="50" t="s">
        <v>38</v>
      </c>
      <c r="B137" s="51" t="s">
        <v>313</v>
      </c>
      <c r="C137" s="51"/>
      <c r="D137" s="58" t="s">
        <v>455</v>
      </c>
      <c r="E137" s="53">
        <v>24</v>
      </c>
      <c r="F137" s="9">
        <v>7.04</v>
      </c>
      <c r="G137" s="10">
        <v>7.54</v>
      </c>
      <c r="H137" s="54">
        <f t="shared" si="7"/>
        <v>180.96</v>
      </c>
      <c r="I137" s="55">
        <v>0</v>
      </c>
      <c r="J137" s="75">
        <f t="shared" si="8"/>
        <v>180.96</v>
      </c>
      <c r="K137" s="57">
        <f t="shared" si="9"/>
        <v>168.96</v>
      </c>
    </row>
    <row r="138" spans="1:14" ht="15" x14ac:dyDescent="0.2">
      <c r="A138" s="50" t="s">
        <v>38</v>
      </c>
      <c r="B138" s="51" t="s">
        <v>314</v>
      </c>
      <c r="C138" s="51"/>
      <c r="D138" s="58" t="s">
        <v>456</v>
      </c>
      <c r="E138" s="53">
        <v>24</v>
      </c>
      <c r="F138" s="9">
        <v>6.88</v>
      </c>
      <c r="G138" s="10">
        <v>7.54</v>
      </c>
      <c r="H138" s="54">
        <f t="shared" si="7"/>
        <v>180.96</v>
      </c>
      <c r="I138" s="55">
        <v>0</v>
      </c>
      <c r="J138" s="75">
        <f t="shared" si="8"/>
        <v>180.96</v>
      </c>
      <c r="K138" s="57">
        <f t="shared" si="9"/>
        <v>165.12</v>
      </c>
    </row>
    <row r="139" spans="1:14" ht="15" x14ac:dyDescent="0.2">
      <c r="A139" s="50" t="s">
        <v>38</v>
      </c>
      <c r="B139" s="51" t="s">
        <v>329</v>
      </c>
      <c r="C139" s="51"/>
      <c r="D139" s="58" t="s">
        <v>471</v>
      </c>
      <c r="E139" s="53">
        <v>12</v>
      </c>
      <c r="F139" s="9">
        <v>21.33</v>
      </c>
      <c r="G139" s="10">
        <v>22.33</v>
      </c>
      <c r="H139" s="54">
        <f t="shared" si="7"/>
        <v>267.95999999999998</v>
      </c>
      <c r="I139" s="55">
        <v>0</v>
      </c>
      <c r="J139" s="75">
        <f t="shared" si="8"/>
        <v>267.95999999999998</v>
      </c>
      <c r="K139" s="57">
        <f t="shared" si="9"/>
        <v>255.95999999999998</v>
      </c>
    </row>
    <row r="140" spans="1:14" ht="15" x14ac:dyDescent="0.2">
      <c r="A140" s="50" t="s">
        <v>38</v>
      </c>
      <c r="B140" s="51" t="s">
        <v>325</v>
      </c>
      <c r="C140" s="51"/>
      <c r="D140" s="58" t="s">
        <v>467</v>
      </c>
      <c r="E140" s="53">
        <v>12</v>
      </c>
      <c r="F140" s="9">
        <v>21.33</v>
      </c>
      <c r="G140" s="10">
        <v>22.33</v>
      </c>
      <c r="H140" s="54">
        <f t="shared" si="7"/>
        <v>267.95999999999998</v>
      </c>
      <c r="I140" s="55">
        <v>0</v>
      </c>
      <c r="J140" s="75">
        <f t="shared" si="8"/>
        <v>267.95999999999998</v>
      </c>
      <c r="K140" s="57">
        <f t="shared" si="9"/>
        <v>255.95999999999998</v>
      </c>
    </row>
    <row r="141" spans="1:14" ht="15" x14ac:dyDescent="0.2">
      <c r="A141" s="50" t="s">
        <v>38</v>
      </c>
      <c r="B141" s="51" t="s">
        <v>330</v>
      </c>
      <c r="C141" s="51"/>
      <c r="D141" s="58" t="s">
        <v>472</v>
      </c>
      <c r="E141" s="53">
        <v>6</v>
      </c>
      <c r="F141" s="9">
        <v>58.67</v>
      </c>
      <c r="G141" s="10">
        <v>60</v>
      </c>
      <c r="H141" s="54">
        <f t="shared" si="7"/>
        <v>360</v>
      </c>
      <c r="I141" s="55">
        <v>0</v>
      </c>
      <c r="J141" s="75">
        <f t="shared" si="8"/>
        <v>360</v>
      </c>
      <c r="K141" s="57">
        <f t="shared" si="9"/>
        <v>352.02</v>
      </c>
    </row>
    <row r="142" spans="1:14" ht="15" x14ac:dyDescent="0.2">
      <c r="A142" s="50" t="s">
        <v>38</v>
      </c>
      <c r="B142" s="51" t="s">
        <v>318</v>
      </c>
      <c r="C142" s="51"/>
      <c r="D142" s="58" t="s">
        <v>460</v>
      </c>
      <c r="E142" s="53">
        <v>6</v>
      </c>
      <c r="F142" s="9">
        <v>59.17</v>
      </c>
      <c r="G142" s="10">
        <v>60</v>
      </c>
      <c r="H142" s="54">
        <f t="shared" si="7"/>
        <v>360</v>
      </c>
      <c r="I142" s="55">
        <v>0</v>
      </c>
      <c r="J142" s="75">
        <f t="shared" si="8"/>
        <v>360</v>
      </c>
      <c r="K142" s="57">
        <f t="shared" si="9"/>
        <v>355.02</v>
      </c>
    </row>
    <row r="143" spans="1:14" ht="15" x14ac:dyDescent="0.2">
      <c r="A143" s="50" t="s">
        <v>38</v>
      </c>
      <c r="B143" s="51" t="s">
        <v>316</v>
      </c>
      <c r="C143" s="51"/>
      <c r="D143" s="58" t="s">
        <v>458</v>
      </c>
      <c r="E143" s="53">
        <v>24</v>
      </c>
      <c r="F143" s="9">
        <v>15.92</v>
      </c>
      <c r="G143" s="10">
        <v>16.329999999999998</v>
      </c>
      <c r="H143" s="54">
        <f t="shared" si="7"/>
        <v>391.91999999999996</v>
      </c>
      <c r="I143" s="55">
        <v>0</v>
      </c>
      <c r="J143" s="75">
        <f t="shared" si="8"/>
        <v>391.91999999999996</v>
      </c>
      <c r="K143" s="57">
        <f t="shared" si="9"/>
        <v>382.08</v>
      </c>
    </row>
    <row r="144" spans="1:14" ht="15" x14ac:dyDescent="0.2">
      <c r="A144" s="50" t="s">
        <v>38</v>
      </c>
      <c r="B144" s="51" t="s">
        <v>322</v>
      </c>
      <c r="C144" s="51"/>
      <c r="D144" s="58" t="s">
        <v>464</v>
      </c>
      <c r="E144" s="53">
        <v>12</v>
      </c>
      <c r="F144" s="9">
        <v>15.92</v>
      </c>
      <c r="G144" s="10">
        <v>16.329999999999998</v>
      </c>
      <c r="H144" s="54">
        <f t="shared" si="7"/>
        <v>195.95999999999998</v>
      </c>
      <c r="I144" s="55">
        <v>0</v>
      </c>
      <c r="J144" s="75">
        <f t="shared" si="8"/>
        <v>195.95999999999998</v>
      </c>
      <c r="K144" s="57">
        <f t="shared" si="9"/>
        <v>191.04</v>
      </c>
      <c r="N144" s="59"/>
    </row>
    <row r="145" spans="1:11" ht="15" x14ac:dyDescent="0.2">
      <c r="A145" s="50" t="s">
        <v>38</v>
      </c>
      <c r="B145" s="51" t="s">
        <v>323</v>
      </c>
      <c r="C145" s="51"/>
      <c r="D145" s="58" t="s">
        <v>465</v>
      </c>
      <c r="E145" s="53">
        <v>12</v>
      </c>
      <c r="F145" s="9">
        <v>15.92</v>
      </c>
      <c r="G145" s="10">
        <v>16.329999999999998</v>
      </c>
      <c r="H145" s="54">
        <f t="shared" si="7"/>
        <v>195.95999999999998</v>
      </c>
      <c r="I145" s="55">
        <v>0</v>
      </c>
      <c r="J145" s="75">
        <f t="shared" si="8"/>
        <v>195.95999999999998</v>
      </c>
      <c r="K145" s="57">
        <f t="shared" si="9"/>
        <v>191.04</v>
      </c>
    </row>
    <row r="146" spans="1:11" ht="15" x14ac:dyDescent="0.2">
      <c r="A146" s="50" t="s">
        <v>38</v>
      </c>
      <c r="B146" s="51" t="s">
        <v>320</v>
      </c>
      <c r="C146" s="51"/>
      <c r="D146" s="58" t="s">
        <v>462</v>
      </c>
      <c r="E146" s="53">
        <v>12</v>
      </c>
      <c r="F146" s="9">
        <v>11.58</v>
      </c>
      <c r="G146" s="10">
        <v>12</v>
      </c>
      <c r="H146" s="54">
        <f t="shared" si="7"/>
        <v>144</v>
      </c>
      <c r="I146" s="55">
        <v>0</v>
      </c>
      <c r="J146" s="75">
        <f t="shared" si="8"/>
        <v>144</v>
      </c>
      <c r="K146" s="57">
        <f t="shared" si="9"/>
        <v>138.96</v>
      </c>
    </row>
    <row r="147" spans="1:11" ht="15" x14ac:dyDescent="0.2">
      <c r="A147" s="50" t="s">
        <v>38</v>
      </c>
      <c r="B147" s="51" t="s">
        <v>312</v>
      </c>
      <c r="C147" s="51" t="s">
        <v>356</v>
      </c>
      <c r="D147" s="58" t="s">
        <v>454</v>
      </c>
      <c r="E147" s="53">
        <v>480</v>
      </c>
      <c r="F147" s="9">
        <v>6.88</v>
      </c>
      <c r="G147" s="10">
        <v>7.54</v>
      </c>
      <c r="H147" s="54">
        <f t="shared" si="7"/>
        <v>3619.2</v>
      </c>
      <c r="I147" s="55">
        <v>0</v>
      </c>
      <c r="J147" s="75">
        <f t="shared" si="8"/>
        <v>3619.2</v>
      </c>
      <c r="K147" s="57">
        <f t="shared" si="9"/>
        <v>3302.4</v>
      </c>
    </row>
    <row r="148" spans="1:11" ht="15" x14ac:dyDescent="0.2">
      <c r="A148" s="50" t="s">
        <v>38</v>
      </c>
      <c r="B148" s="51" t="s">
        <v>313</v>
      </c>
      <c r="C148" s="51"/>
      <c r="D148" s="58" t="s">
        <v>455</v>
      </c>
      <c r="E148" s="53">
        <v>48</v>
      </c>
      <c r="F148" s="9">
        <v>7.04</v>
      </c>
      <c r="G148" s="10">
        <v>7.54</v>
      </c>
      <c r="H148" s="54">
        <f t="shared" si="7"/>
        <v>361.92</v>
      </c>
      <c r="I148" s="55">
        <v>0</v>
      </c>
      <c r="J148" s="75">
        <f t="shared" si="8"/>
        <v>361.92</v>
      </c>
      <c r="K148" s="57">
        <f t="shared" si="9"/>
        <v>337.92</v>
      </c>
    </row>
    <row r="149" spans="1:11" ht="15" x14ac:dyDescent="0.2">
      <c r="A149" s="50" t="s">
        <v>38</v>
      </c>
      <c r="B149" s="51" t="s">
        <v>316</v>
      </c>
      <c r="C149" s="51"/>
      <c r="D149" s="58" t="s">
        <v>458</v>
      </c>
      <c r="E149" s="53">
        <v>360</v>
      </c>
      <c r="F149" s="9">
        <v>15.92</v>
      </c>
      <c r="G149" s="10">
        <v>16.329999999999998</v>
      </c>
      <c r="H149" s="54">
        <f t="shared" si="7"/>
        <v>5878.7999999999993</v>
      </c>
      <c r="I149" s="55">
        <v>0</v>
      </c>
      <c r="J149" s="75">
        <f t="shared" si="8"/>
        <v>5878.7999999999993</v>
      </c>
      <c r="K149" s="57">
        <f t="shared" si="9"/>
        <v>5731.2</v>
      </c>
    </row>
    <row r="150" spans="1:11" ht="15" x14ac:dyDescent="0.2">
      <c r="A150" s="50" t="s">
        <v>38</v>
      </c>
      <c r="B150" s="51" t="s">
        <v>323</v>
      </c>
      <c r="C150" s="51"/>
      <c r="D150" s="58" t="s">
        <v>465</v>
      </c>
      <c r="E150" s="53">
        <v>60</v>
      </c>
      <c r="F150" s="9">
        <v>15.92</v>
      </c>
      <c r="G150" s="10">
        <v>16.329999999999998</v>
      </c>
      <c r="H150" s="54">
        <f t="shared" si="7"/>
        <v>979.8</v>
      </c>
      <c r="I150" s="55">
        <v>0</v>
      </c>
      <c r="J150" s="75">
        <f t="shared" si="8"/>
        <v>979.8</v>
      </c>
      <c r="K150" s="57">
        <f t="shared" si="9"/>
        <v>955.2</v>
      </c>
    </row>
    <row r="151" spans="1:11" ht="15" x14ac:dyDescent="0.2">
      <c r="A151" s="50" t="s">
        <v>38</v>
      </c>
      <c r="B151" s="51" t="s">
        <v>322</v>
      </c>
      <c r="C151" s="51"/>
      <c r="D151" s="58" t="s">
        <v>464</v>
      </c>
      <c r="E151" s="53">
        <v>120</v>
      </c>
      <c r="F151" s="9">
        <v>15.92</v>
      </c>
      <c r="G151" s="10">
        <v>16.329999999999998</v>
      </c>
      <c r="H151" s="54">
        <f t="shared" si="7"/>
        <v>1959.6</v>
      </c>
      <c r="I151" s="55">
        <v>0</v>
      </c>
      <c r="J151" s="75">
        <f t="shared" si="8"/>
        <v>1959.6</v>
      </c>
      <c r="K151" s="57">
        <f t="shared" si="9"/>
        <v>1910.4</v>
      </c>
    </row>
    <row r="152" spans="1:11" ht="15" x14ac:dyDescent="0.2">
      <c r="A152" s="50" t="s">
        <v>38</v>
      </c>
      <c r="B152" s="51" t="s">
        <v>319</v>
      </c>
      <c r="C152" s="51"/>
      <c r="D152" s="58" t="s">
        <v>461</v>
      </c>
      <c r="E152" s="53">
        <v>120</v>
      </c>
      <c r="F152" s="9">
        <v>11.58</v>
      </c>
      <c r="G152" s="10">
        <v>12</v>
      </c>
      <c r="H152" s="54">
        <f t="shared" si="7"/>
        <v>1440</v>
      </c>
      <c r="I152" s="55">
        <v>0</v>
      </c>
      <c r="J152" s="75">
        <f t="shared" si="8"/>
        <v>1440</v>
      </c>
      <c r="K152" s="57">
        <f t="shared" si="9"/>
        <v>1389.6</v>
      </c>
    </row>
    <row r="153" spans="1:11" ht="15" x14ac:dyDescent="0.2">
      <c r="A153" s="50" t="s">
        <v>38</v>
      </c>
      <c r="B153" s="51" t="s">
        <v>317</v>
      </c>
      <c r="C153" s="51"/>
      <c r="D153" s="58" t="s">
        <v>459</v>
      </c>
      <c r="E153" s="53">
        <v>60</v>
      </c>
      <c r="F153" s="9">
        <v>59.17</v>
      </c>
      <c r="G153" s="10">
        <v>60</v>
      </c>
      <c r="H153" s="54">
        <f t="shared" si="7"/>
        <v>3600</v>
      </c>
      <c r="I153" s="55">
        <v>0</v>
      </c>
      <c r="J153" s="75">
        <f t="shared" si="8"/>
        <v>3600</v>
      </c>
      <c r="K153" s="57">
        <f t="shared" si="9"/>
        <v>3550.2000000000003</v>
      </c>
    </row>
    <row r="154" spans="1:11" ht="15" x14ac:dyDescent="0.2">
      <c r="A154" s="50" t="s">
        <v>38</v>
      </c>
      <c r="B154" s="51" t="s">
        <v>318</v>
      </c>
      <c r="C154" s="51"/>
      <c r="D154" s="58" t="s">
        <v>460</v>
      </c>
      <c r="E154" s="53">
        <v>12</v>
      </c>
      <c r="F154" s="9">
        <v>59.17</v>
      </c>
      <c r="G154" s="10">
        <v>60</v>
      </c>
      <c r="H154" s="54">
        <f t="shared" si="7"/>
        <v>720</v>
      </c>
      <c r="I154" s="55">
        <v>0</v>
      </c>
      <c r="J154" s="75">
        <f t="shared" si="8"/>
        <v>720</v>
      </c>
      <c r="K154" s="57">
        <f t="shared" si="9"/>
        <v>710.04</v>
      </c>
    </row>
    <row r="155" spans="1:11" ht="15" x14ac:dyDescent="0.2">
      <c r="A155" s="50" t="s">
        <v>38</v>
      </c>
      <c r="B155" s="51" t="s">
        <v>324</v>
      </c>
      <c r="C155" s="51"/>
      <c r="D155" s="52" t="s">
        <v>466</v>
      </c>
      <c r="E155" s="53">
        <v>60</v>
      </c>
      <c r="F155" s="9">
        <v>6.67</v>
      </c>
      <c r="G155" s="10">
        <v>7.25</v>
      </c>
      <c r="H155" s="54">
        <f t="shared" si="7"/>
        <v>435</v>
      </c>
      <c r="I155" s="55">
        <v>0.32</v>
      </c>
      <c r="J155" s="75">
        <f t="shared" si="8"/>
        <v>434.68</v>
      </c>
      <c r="K155" s="57">
        <f t="shared" si="9"/>
        <v>400.2</v>
      </c>
    </row>
    <row r="156" spans="1:11" ht="15" x14ac:dyDescent="0.2">
      <c r="A156" s="50" t="s">
        <v>38</v>
      </c>
      <c r="B156" s="51" t="s">
        <v>329</v>
      </c>
      <c r="C156" s="51" t="s">
        <v>357</v>
      </c>
      <c r="D156" s="58" t="s">
        <v>471</v>
      </c>
      <c r="E156" s="53">
        <v>36</v>
      </c>
      <c r="F156" s="9">
        <v>21.33</v>
      </c>
      <c r="G156" s="10">
        <v>22.33</v>
      </c>
      <c r="H156" s="54">
        <f t="shared" si="7"/>
        <v>803.87999999999988</v>
      </c>
      <c r="I156" s="55">
        <v>0</v>
      </c>
      <c r="J156" s="75">
        <f t="shared" si="8"/>
        <v>803.87999999999988</v>
      </c>
      <c r="K156" s="57">
        <f t="shared" si="9"/>
        <v>767.87999999999988</v>
      </c>
    </row>
    <row r="157" spans="1:11" ht="15" x14ac:dyDescent="0.2">
      <c r="A157" s="50" t="s">
        <v>38</v>
      </c>
      <c r="B157" s="51" t="s">
        <v>325</v>
      </c>
      <c r="C157" s="51"/>
      <c r="D157" s="58" t="s">
        <v>467</v>
      </c>
      <c r="E157" s="53">
        <v>24</v>
      </c>
      <c r="F157" s="9">
        <v>21.33</v>
      </c>
      <c r="G157" s="10">
        <v>22.33</v>
      </c>
      <c r="H157" s="54">
        <f t="shared" si="7"/>
        <v>535.91999999999996</v>
      </c>
      <c r="I157" s="55">
        <v>0</v>
      </c>
      <c r="J157" s="75">
        <f t="shared" si="8"/>
        <v>535.91999999999996</v>
      </c>
      <c r="K157" s="57">
        <f t="shared" si="9"/>
        <v>511.91999999999996</v>
      </c>
    </row>
    <row r="158" spans="1:11" ht="15" x14ac:dyDescent="0.2">
      <c r="A158" s="50" t="s">
        <v>38</v>
      </c>
      <c r="B158" s="51" t="s">
        <v>317</v>
      </c>
      <c r="C158" s="51" t="s">
        <v>358</v>
      </c>
      <c r="D158" s="58" t="s">
        <v>459</v>
      </c>
      <c r="E158" s="53">
        <v>24</v>
      </c>
      <c r="F158" s="9">
        <v>59.17</v>
      </c>
      <c r="G158" s="10">
        <v>60</v>
      </c>
      <c r="H158" s="54">
        <f t="shared" si="7"/>
        <v>1440</v>
      </c>
      <c r="I158" s="55">
        <v>0</v>
      </c>
      <c r="J158" s="75">
        <f t="shared" si="8"/>
        <v>1440</v>
      </c>
      <c r="K158" s="57">
        <f t="shared" si="9"/>
        <v>1420.08</v>
      </c>
    </row>
    <row r="159" spans="1:11" ht="15" x14ac:dyDescent="0.2">
      <c r="A159" s="50" t="s">
        <v>38</v>
      </c>
      <c r="B159" s="51" t="s">
        <v>330</v>
      </c>
      <c r="C159" s="51"/>
      <c r="D159" s="58" t="s">
        <v>472</v>
      </c>
      <c r="E159" s="53">
        <v>12</v>
      </c>
      <c r="F159" s="9">
        <v>58.67</v>
      </c>
      <c r="G159" s="10">
        <v>60</v>
      </c>
      <c r="H159" s="54">
        <f t="shared" si="7"/>
        <v>720</v>
      </c>
      <c r="I159" s="55">
        <v>0</v>
      </c>
      <c r="J159" s="75">
        <f t="shared" si="8"/>
        <v>720</v>
      </c>
      <c r="K159" s="57">
        <f t="shared" si="9"/>
        <v>704.04</v>
      </c>
    </row>
    <row r="160" spans="1:11" ht="15" x14ac:dyDescent="0.2">
      <c r="A160" s="50" t="s">
        <v>38</v>
      </c>
      <c r="B160" s="51" t="s">
        <v>318</v>
      </c>
      <c r="C160" s="51"/>
      <c r="D160" s="58" t="s">
        <v>460</v>
      </c>
      <c r="E160" s="53">
        <v>12</v>
      </c>
      <c r="F160" s="9">
        <v>59.17</v>
      </c>
      <c r="G160" s="10">
        <v>60</v>
      </c>
      <c r="H160" s="54">
        <f t="shared" si="7"/>
        <v>720</v>
      </c>
      <c r="I160" s="55">
        <v>0</v>
      </c>
      <c r="J160" s="75">
        <f t="shared" si="8"/>
        <v>720</v>
      </c>
      <c r="K160" s="57">
        <f t="shared" si="9"/>
        <v>710.04</v>
      </c>
    </row>
    <row r="161" spans="1:14" ht="15" x14ac:dyDescent="0.2">
      <c r="A161" s="50" t="s">
        <v>38</v>
      </c>
      <c r="B161" s="51" t="s">
        <v>316</v>
      </c>
      <c r="C161" s="51"/>
      <c r="D161" s="58" t="s">
        <v>458</v>
      </c>
      <c r="E161" s="53">
        <v>60</v>
      </c>
      <c r="F161" s="9">
        <v>15.92</v>
      </c>
      <c r="G161" s="10">
        <v>16.329999999999998</v>
      </c>
      <c r="H161" s="54">
        <f t="shared" si="7"/>
        <v>979.8</v>
      </c>
      <c r="I161" s="55">
        <v>0</v>
      </c>
      <c r="J161" s="75">
        <f t="shared" si="8"/>
        <v>979.8</v>
      </c>
      <c r="K161" s="57">
        <f t="shared" si="9"/>
        <v>955.2</v>
      </c>
    </row>
    <row r="162" spans="1:14" ht="15" x14ac:dyDescent="0.2">
      <c r="A162" s="50" t="s">
        <v>38</v>
      </c>
      <c r="B162" s="51" t="s">
        <v>319</v>
      </c>
      <c r="C162" s="51"/>
      <c r="D162" s="58" t="s">
        <v>461</v>
      </c>
      <c r="E162" s="53">
        <v>24</v>
      </c>
      <c r="F162" s="9">
        <v>11.58</v>
      </c>
      <c r="G162" s="10">
        <v>12</v>
      </c>
      <c r="H162" s="54">
        <f t="shared" si="7"/>
        <v>288</v>
      </c>
      <c r="I162" s="55">
        <v>0</v>
      </c>
      <c r="J162" s="75">
        <f t="shared" si="8"/>
        <v>288</v>
      </c>
      <c r="K162" s="57">
        <f t="shared" si="9"/>
        <v>277.92</v>
      </c>
    </row>
    <row r="163" spans="1:14" ht="15" x14ac:dyDescent="0.2">
      <c r="A163" s="50" t="s">
        <v>38</v>
      </c>
      <c r="B163" s="51" t="s">
        <v>320</v>
      </c>
      <c r="C163" s="51"/>
      <c r="D163" s="58" t="s">
        <v>462</v>
      </c>
      <c r="E163" s="53">
        <v>24</v>
      </c>
      <c r="F163" s="9">
        <v>11.58</v>
      </c>
      <c r="G163" s="10">
        <v>12</v>
      </c>
      <c r="H163" s="54">
        <f t="shared" si="7"/>
        <v>288</v>
      </c>
      <c r="I163" s="55">
        <v>0</v>
      </c>
      <c r="J163" s="75">
        <f t="shared" si="8"/>
        <v>288</v>
      </c>
      <c r="K163" s="57">
        <f t="shared" si="9"/>
        <v>277.92</v>
      </c>
    </row>
    <row r="164" spans="1:14" ht="15" x14ac:dyDescent="0.2">
      <c r="A164" s="50" t="s">
        <v>38</v>
      </c>
      <c r="B164" s="51" t="s">
        <v>321</v>
      </c>
      <c r="C164" s="51"/>
      <c r="D164" s="58" t="s">
        <v>463</v>
      </c>
      <c r="E164" s="53">
        <v>24</v>
      </c>
      <c r="F164" s="9">
        <v>11.5</v>
      </c>
      <c r="G164" s="10">
        <v>12</v>
      </c>
      <c r="H164" s="54">
        <f t="shared" si="7"/>
        <v>288</v>
      </c>
      <c r="I164" s="55">
        <v>0</v>
      </c>
      <c r="J164" s="75">
        <f t="shared" si="8"/>
        <v>288</v>
      </c>
      <c r="K164" s="57">
        <f t="shared" si="9"/>
        <v>276</v>
      </c>
    </row>
    <row r="165" spans="1:14" ht="15" x14ac:dyDescent="0.2">
      <c r="A165" s="50" t="s">
        <v>38</v>
      </c>
      <c r="B165" s="51" t="s">
        <v>312</v>
      </c>
      <c r="C165" s="51" t="s">
        <v>359</v>
      </c>
      <c r="D165" s="58" t="s">
        <v>454</v>
      </c>
      <c r="E165" s="53">
        <v>24</v>
      </c>
      <c r="F165" s="9">
        <v>6.88</v>
      </c>
      <c r="G165" s="10">
        <v>7.54</v>
      </c>
      <c r="H165" s="54">
        <f t="shared" si="7"/>
        <v>180.96</v>
      </c>
      <c r="I165" s="55">
        <v>0</v>
      </c>
      <c r="J165" s="75">
        <f t="shared" si="8"/>
        <v>180.96</v>
      </c>
      <c r="K165" s="57">
        <f t="shared" si="9"/>
        <v>165.12</v>
      </c>
    </row>
    <row r="166" spans="1:14" ht="15" x14ac:dyDescent="0.2">
      <c r="A166" s="50" t="s">
        <v>38</v>
      </c>
      <c r="B166" s="51" t="s">
        <v>313</v>
      </c>
      <c r="C166" s="51"/>
      <c r="D166" s="58" t="s">
        <v>455</v>
      </c>
      <c r="E166" s="53">
        <v>12</v>
      </c>
      <c r="F166" s="9">
        <v>7.04</v>
      </c>
      <c r="G166" s="10">
        <v>7.54</v>
      </c>
      <c r="H166" s="54">
        <f t="shared" si="7"/>
        <v>90.48</v>
      </c>
      <c r="I166" s="55">
        <v>0</v>
      </c>
      <c r="J166" s="75">
        <f t="shared" si="8"/>
        <v>90.48</v>
      </c>
      <c r="K166" s="57">
        <f t="shared" si="9"/>
        <v>84.48</v>
      </c>
    </row>
    <row r="167" spans="1:14" ht="15" x14ac:dyDescent="0.2">
      <c r="A167" s="50" t="s">
        <v>38</v>
      </c>
      <c r="B167" s="51" t="s">
        <v>314</v>
      </c>
      <c r="C167" s="51"/>
      <c r="D167" s="58" t="s">
        <v>456</v>
      </c>
      <c r="E167" s="53">
        <v>12</v>
      </c>
      <c r="F167" s="9">
        <v>6.88</v>
      </c>
      <c r="G167" s="10">
        <v>7.54</v>
      </c>
      <c r="H167" s="54">
        <f t="shared" si="7"/>
        <v>90.48</v>
      </c>
      <c r="I167" s="55">
        <v>0</v>
      </c>
      <c r="J167" s="75">
        <f t="shared" si="8"/>
        <v>90.48</v>
      </c>
      <c r="K167" s="57">
        <f t="shared" si="9"/>
        <v>82.56</v>
      </c>
    </row>
    <row r="168" spans="1:14" ht="15" x14ac:dyDescent="0.2">
      <c r="A168" s="50" t="s">
        <v>38</v>
      </c>
      <c r="B168" s="51" t="s">
        <v>329</v>
      </c>
      <c r="C168" s="51"/>
      <c r="D168" s="58" t="s">
        <v>471</v>
      </c>
      <c r="E168" s="53">
        <v>12</v>
      </c>
      <c r="F168" s="9">
        <v>21.33</v>
      </c>
      <c r="G168" s="10">
        <v>22.33</v>
      </c>
      <c r="H168" s="54">
        <f t="shared" si="7"/>
        <v>267.95999999999998</v>
      </c>
      <c r="I168" s="55">
        <v>0</v>
      </c>
      <c r="J168" s="75">
        <f t="shared" si="8"/>
        <v>267.95999999999998</v>
      </c>
      <c r="K168" s="57">
        <f t="shared" si="9"/>
        <v>255.95999999999998</v>
      </c>
    </row>
    <row r="169" spans="1:14" ht="15" x14ac:dyDescent="0.2">
      <c r="A169" s="50" t="s">
        <v>38</v>
      </c>
      <c r="B169" s="51" t="s">
        <v>325</v>
      </c>
      <c r="C169" s="51"/>
      <c r="D169" s="58" t="s">
        <v>467</v>
      </c>
      <c r="E169" s="53">
        <v>12</v>
      </c>
      <c r="F169" s="9">
        <v>21.33</v>
      </c>
      <c r="G169" s="10">
        <v>22.33</v>
      </c>
      <c r="H169" s="54">
        <f t="shared" si="7"/>
        <v>267.95999999999998</v>
      </c>
      <c r="I169" s="55">
        <v>0</v>
      </c>
      <c r="J169" s="75">
        <f t="shared" si="8"/>
        <v>267.95999999999998</v>
      </c>
      <c r="K169" s="57">
        <f t="shared" si="9"/>
        <v>255.95999999999998</v>
      </c>
    </row>
    <row r="170" spans="1:14" ht="15" x14ac:dyDescent="0.2">
      <c r="A170" s="50" t="s">
        <v>38</v>
      </c>
      <c r="B170" s="51" t="s">
        <v>316</v>
      </c>
      <c r="C170" s="51"/>
      <c r="D170" s="58" t="s">
        <v>458</v>
      </c>
      <c r="E170" s="53">
        <v>12</v>
      </c>
      <c r="F170" s="9">
        <v>15.92</v>
      </c>
      <c r="G170" s="10">
        <v>16.329999999999998</v>
      </c>
      <c r="H170" s="54">
        <f t="shared" si="7"/>
        <v>195.95999999999998</v>
      </c>
      <c r="I170" s="55">
        <v>0</v>
      </c>
      <c r="J170" s="75">
        <f t="shared" si="8"/>
        <v>195.95999999999998</v>
      </c>
      <c r="K170" s="57">
        <f t="shared" si="9"/>
        <v>191.04</v>
      </c>
    </row>
    <row r="171" spans="1:14" ht="15" x14ac:dyDescent="0.2">
      <c r="A171" s="50" t="s">
        <v>38</v>
      </c>
      <c r="B171" s="51" t="s">
        <v>319</v>
      </c>
      <c r="C171" s="51"/>
      <c r="D171" s="58" t="s">
        <v>461</v>
      </c>
      <c r="E171" s="53">
        <v>12</v>
      </c>
      <c r="F171" s="9">
        <v>11.58</v>
      </c>
      <c r="G171" s="10">
        <v>12</v>
      </c>
      <c r="H171" s="54">
        <f t="shared" si="7"/>
        <v>144</v>
      </c>
      <c r="I171" s="55">
        <v>0</v>
      </c>
      <c r="J171" s="75">
        <f t="shared" si="8"/>
        <v>144</v>
      </c>
      <c r="K171" s="57">
        <f t="shared" si="9"/>
        <v>138.96</v>
      </c>
    </row>
    <row r="172" spans="1:14" ht="15" x14ac:dyDescent="0.2">
      <c r="A172" s="50" t="s">
        <v>38</v>
      </c>
      <c r="B172" s="51" t="s">
        <v>318</v>
      </c>
      <c r="C172" s="51" t="s">
        <v>360</v>
      </c>
      <c r="D172" s="58" t="s">
        <v>460</v>
      </c>
      <c r="E172" s="53">
        <v>7</v>
      </c>
      <c r="F172" s="9">
        <v>59.17</v>
      </c>
      <c r="G172" s="10">
        <v>60</v>
      </c>
      <c r="H172" s="54">
        <f t="shared" si="7"/>
        <v>420</v>
      </c>
      <c r="I172" s="55">
        <v>0</v>
      </c>
      <c r="J172" s="75">
        <f t="shared" si="8"/>
        <v>420</v>
      </c>
      <c r="K172" s="57">
        <f t="shared" si="9"/>
        <v>414.19</v>
      </c>
      <c r="N172" s="59"/>
    </row>
    <row r="173" spans="1:14" ht="15" x14ac:dyDescent="0.2">
      <c r="A173" s="50" t="s">
        <v>38</v>
      </c>
      <c r="B173" s="51" t="s">
        <v>328</v>
      </c>
      <c r="C173" s="51"/>
      <c r="D173" s="58" t="s">
        <v>470</v>
      </c>
      <c r="E173" s="53">
        <v>5</v>
      </c>
      <c r="F173" s="9">
        <v>59.17</v>
      </c>
      <c r="G173" s="10">
        <v>60</v>
      </c>
      <c r="H173" s="54">
        <f t="shared" si="7"/>
        <v>300</v>
      </c>
      <c r="I173" s="55">
        <v>0</v>
      </c>
      <c r="J173" s="75">
        <f t="shared" si="8"/>
        <v>300</v>
      </c>
      <c r="K173" s="57">
        <f t="shared" si="9"/>
        <v>295.85000000000002</v>
      </c>
    </row>
    <row r="174" spans="1:14" ht="15" x14ac:dyDescent="0.2">
      <c r="A174" s="50" t="s">
        <v>38</v>
      </c>
      <c r="B174" s="51" t="s">
        <v>309</v>
      </c>
      <c r="C174" s="51"/>
      <c r="D174" s="58" t="s">
        <v>451</v>
      </c>
      <c r="E174" s="53">
        <v>4</v>
      </c>
      <c r="F174" s="9">
        <v>36</v>
      </c>
      <c r="G174" s="10">
        <v>37.33</v>
      </c>
      <c r="H174" s="54">
        <f t="shared" si="7"/>
        <v>149.32</v>
      </c>
      <c r="I174" s="55">
        <v>0</v>
      </c>
      <c r="J174" s="75">
        <f t="shared" si="8"/>
        <v>149.32</v>
      </c>
      <c r="K174" s="57">
        <f t="shared" si="9"/>
        <v>144</v>
      </c>
    </row>
    <row r="175" spans="1:14" ht="15" x14ac:dyDescent="0.2">
      <c r="A175" s="50" t="s">
        <v>38</v>
      </c>
      <c r="B175" s="51" t="s">
        <v>310</v>
      </c>
      <c r="C175" s="51"/>
      <c r="D175" s="58" t="s">
        <v>452</v>
      </c>
      <c r="E175" s="53">
        <v>5</v>
      </c>
      <c r="F175" s="9">
        <v>36</v>
      </c>
      <c r="G175" s="10">
        <v>37.33</v>
      </c>
      <c r="H175" s="54">
        <f t="shared" si="7"/>
        <v>186.64999999999998</v>
      </c>
      <c r="I175" s="55">
        <v>0</v>
      </c>
      <c r="J175" s="75">
        <f t="shared" si="8"/>
        <v>186.64999999999998</v>
      </c>
      <c r="K175" s="57">
        <f t="shared" si="9"/>
        <v>180</v>
      </c>
    </row>
    <row r="176" spans="1:14" ht="15" x14ac:dyDescent="0.2">
      <c r="A176" s="50" t="s">
        <v>38</v>
      </c>
      <c r="B176" s="51" t="s">
        <v>311</v>
      </c>
      <c r="C176" s="51"/>
      <c r="D176" s="58" t="s">
        <v>453</v>
      </c>
      <c r="E176" s="53">
        <v>3</v>
      </c>
      <c r="F176" s="9">
        <v>36.5</v>
      </c>
      <c r="G176" s="10">
        <v>37.33</v>
      </c>
      <c r="H176" s="54">
        <f t="shared" si="7"/>
        <v>111.99</v>
      </c>
      <c r="I176" s="55">
        <v>0</v>
      </c>
      <c r="J176" s="75">
        <f t="shared" si="8"/>
        <v>111.99</v>
      </c>
      <c r="K176" s="57">
        <f t="shared" si="9"/>
        <v>109.5</v>
      </c>
    </row>
    <row r="177" spans="1:11" ht="15" x14ac:dyDescent="0.2">
      <c r="A177" s="50" t="s">
        <v>38</v>
      </c>
      <c r="B177" s="51" t="s">
        <v>316</v>
      </c>
      <c r="C177" s="51"/>
      <c r="D177" s="58" t="s">
        <v>458</v>
      </c>
      <c r="E177" s="53">
        <v>60</v>
      </c>
      <c r="F177" s="9">
        <v>15.92</v>
      </c>
      <c r="G177" s="10">
        <v>16.329999999999998</v>
      </c>
      <c r="H177" s="54">
        <f t="shared" si="7"/>
        <v>979.8</v>
      </c>
      <c r="I177" s="55">
        <v>0</v>
      </c>
      <c r="J177" s="75">
        <f t="shared" si="8"/>
        <v>979.8</v>
      </c>
      <c r="K177" s="57">
        <f t="shared" si="9"/>
        <v>955.2</v>
      </c>
    </row>
    <row r="178" spans="1:11" ht="15" x14ac:dyDescent="0.2">
      <c r="A178" s="50" t="s">
        <v>38</v>
      </c>
      <c r="B178" s="51" t="s">
        <v>322</v>
      </c>
      <c r="C178" s="51"/>
      <c r="D178" s="58" t="s">
        <v>464</v>
      </c>
      <c r="E178" s="53">
        <v>24</v>
      </c>
      <c r="F178" s="9">
        <v>15.92</v>
      </c>
      <c r="G178" s="10">
        <v>16.329999999999998</v>
      </c>
      <c r="H178" s="54">
        <f t="shared" si="7"/>
        <v>391.91999999999996</v>
      </c>
      <c r="I178" s="55">
        <v>0</v>
      </c>
      <c r="J178" s="75">
        <f t="shared" si="8"/>
        <v>391.91999999999996</v>
      </c>
      <c r="K178" s="57">
        <f t="shared" si="9"/>
        <v>382.08</v>
      </c>
    </row>
    <row r="179" spans="1:11" ht="15" x14ac:dyDescent="0.2">
      <c r="A179" s="50" t="s">
        <v>38</v>
      </c>
      <c r="B179" s="51" t="s">
        <v>323</v>
      </c>
      <c r="C179" s="51"/>
      <c r="D179" s="58" t="s">
        <v>465</v>
      </c>
      <c r="E179" s="53">
        <v>12</v>
      </c>
      <c r="F179" s="9">
        <v>15.92</v>
      </c>
      <c r="G179" s="10">
        <v>16.329999999999998</v>
      </c>
      <c r="H179" s="54">
        <f t="shared" si="7"/>
        <v>195.95999999999998</v>
      </c>
      <c r="I179" s="55">
        <v>0</v>
      </c>
      <c r="J179" s="75">
        <f t="shared" si="8"/>
        <v>195.95999999999998</v>
      </c>
      <c r="K179" s="57">
        <f t="shared" si="9"/>
        <v>191.04</v>
      </c>
    </row>
    <row r="180" spans="1:11" ht="15" x14ac:dyDescent="0.2">
      <c r="A180" s="50" t="s">
        <v>38</v>
      </c>
      <c r="B180" s="51" t="s">
        <v>312</v>
      </c>
      <c r="C180" s="51" t="s">
        <v>361</v>
      </c>
      <c r="D180" s="58" t="s">
        <v>454</v>
      </c>
      <c r="E180" s="53">
        <v>600</v>
      </c>
      <c r="F180" s="9">
        <v>6.88</v>
      </c>
      <c r="G180" s="10">
        <v>7.54</v>
      </c>
      <c r="H180" s="54">
        <f t="shared" si="7"/>
        <v>4524</v>
      </c>
      <c r="I180" s="55">
        <v>0</v>
      </c>
      <c r="J180" s="75">
        <f t="shared" si="8"/>
        <v>4524</v>
      </c>
      <c r="K180" s="57">
        <f t="shared" si="9"/>
        <v>4128</v>
      </c>
    </row>
    <row r="181" spans="1:11" ht="15" x14ac:dyDescent="0.2">
      <c r="A181" s="50" t="s">
        <v>38</v>
      </c>
      <c r="B181" s="51" t="s">
        <v>314</v>
      </c>
      <c r="C181" s="51"/>
      <c r="D181" s="58" t="s">
        <v>456</v>
      </c>
      <c r="E181" s="53">
        <v>72</v>
      </c>
      <c r="F181" s="9">
        <v>6.88</v>
      </c>
      <c r="G181" s="10">
        <v>7.54</v>
      </c>
      <c r="H181" s="54">
        <f t="shared" si="7"/>
        <v>542.88</v>
      </c>
      <c r="I181" s="55">
        <v>0</v>
      </c>
      <c r="J181" s="75">
        <f t="shared" si="8"/>
        <v>542.88</v>
      </c>
      <c r="K181" s="57">
        <f t="shared" si="9"/>
        <v>495.36</v>
      </c>
    </row>
    <row r="182" spans="1:11" ht="15" x14ac:dyDescent="0.2">
      <c r="A182" s="50" t="s">
        <v>38</v>
      </c>
      <c r="B182" s="51" t="s">
        <v>329</v>
      </c>
      <c r="C182" s="51"/>
      <c r="D182" s="58" t="s">
        <v>471</v>
      </c>
      <c r="E182" s="53">
        <v>24</v>
      </c>
      <c r="F182" s="9">
        <v>21.33</v>
      </c>
      <c r="G182" s="10">
        <v>22.33</v>
      </c>
      <c r="H182" s="54">
        <f t="shared" si="7"/>
        <v>535.91999999999996</v>
      </c>
      <c r="I182" s="55">
        <v>0</v>
      </c>
      <c r="J182" s="75">
        <f t="shared" si="8"/>
        <v>535.91999999999996</v>
      </c>
      <c r="K182" s="57">
        <f t="shared" si="9"/>
        <v>511.91999999999996</v>
      </c>
    </row>
    <row r="183" spans="1:11" ht="15" x14ac:dyDescent="0.2">
      <c r="A183" s="50" t="s">
        <v>38</v>
      </c>
      <c r="B183" s="51" t="s">
        <v>317</v>
      </c>
      <c r="C183" s="51"/>
      <c r="D183" s="58" t="s">
        <v>459</v>
      </c>
      <c r="E183" s="53">
        <v>24</v>
      </c>
      <c r="F183" s="9">
        <v>59.17</v>
      </c>
      <c r="G183" s="10">
        <v>60</v>
      </c>
      <c r="H183" s="54">
        <f t="shared" si="7"/>
        <v>1440</v>
      </c>
      <c r="I183" s="55">
        <v>0</v>
      </c>
      <c r="J183" s="75">
        <f t="shared" si="8"/>
        <v>1440</v>
      </c>
      <c r="K183" s="57">
        <f t="shared" si="9"/>
        <v>1420.08</v>
      </c>
    </row>
    <row r="184" spans="1:11" ht="15" x14ac:dyDescent="0.2">
      <c r="A184" s="50" t="s">
        <v>38</v>
      </c>
      <c r="B184" s="51" t="s">
        <v>312</v>
      </c>
      <c r="C184" s="51" t="s">
        <v>362</v>
      </c>
      <c r="D184" s="58" t="s">
        <v>454</v>
      </c>
      <c r="E184" s="53">
        <v>72</v>
      </c>
      <c r="F184" s="9">
        <v>6.88</v>
      </c>
      <c r="G184" s="10">
        <v>7.54</v>
      </c>
      <c r="H184" s="54">
        <f t="shared" si="7"/>
        <v>542.88</v>
      </c>
      <c r="I184" s="55">
        <v>0</v>
      </c>
      <c r="J184" s="75">
        <f t="shared" si="8"/>
        <v>542.88</v>
      </c>
      <c r="K184" s="57">
        <f t="shared" si="9"/>
        <v>495.36</v>
      </c>
    </row>
    <row r="185" spans="1:11" ht="15" x14ac:dyDescent="0.2">
      <c r="A185" s="50" t="s">
        <v>38</v>
      </c>
      <c r="B185" s="51" t="s">
        <v>316</v>
      </c>
      <c r="C185" s="51"/>
      <c r="D185" s="58" t="s">
        <v>458</v>
      </c>
      <c r="E185" s="53">
        <v>48</v>
      </c>
      <c r="F185" s="9">
        <v>15.92</v>
      </c>
      <c r="G185" s="10">
        <v>16.329999999999998</v>
      </c>
      <c r="H185" s="54">
        <f t="shared" si="7"/>
        <v>783.83999999999992</v>
      </c>
      <c r="I185" s="55">
        <v>0</v>
      </c>
      <c r="J185" s="75">
        <f t="shared" si="8"/>
        <v>783.83999999999992</v>
      </c>
      <c r="K185" s="57">
        <f t="shared" si="9"/>
        <v>764.16</v>
      </c>
    </row>
    <row r="186" spans="1:11" ht="15" x14ac:dyDescent="0.2">
      <c r="A186" s="50" t="s">
        <v>38</v>
      </c>
      <c r="B186" s="51" t="s">
        <v>328</v>
      </c>
      <c r="C186" s="51"/>
      <c r="D186" s="58" t="s">
        <v>470</v>
      </c>
      <c r="E186" s="53">
        <v>3</v>
      </c>
      <c r="F186" s="9">
        <v>59.17</v>
      </c>
      <c r="G186" s="10">
        <v>60</v>
      </c>
      <c r="H186" s="54">
        <f t="shared" si="7"/>
        <v>180</v>
      </c>
      <c r="I186" s="55">
        <v>0</v>
      </c>
      <c r="J186" s="75">
        <f t="shared" si="8"/>
        <v>180</v>
      </c>
      <c r="K186" s="57">
        <f t="shared" si="9"/>
        <v>177.51</v>
      </c>
    </row>
    <row r="187" spans="1:11" ht="15" x14ac:dyDescent="0.2">
      <c r="A187" s="50" t="s">
        <v>38</v>
      </c>
      <c r="B187" s="51" t="s">
        <v>316</v>
      </c>
      <c r="C187" s="51" t="s">
        <v>363</v>
      </c>
      <c r="D187" s="58" t="s">
        <v>458</v>
      </c>
      <c r="E187" s="53">
        <v>36</v>
      </c>
      <c r="F187" s="9">
        <v>15.92</v>
      </c>
      <c r="G187" s="10">
        <v>16.329999999999998</v>
      </c>
      <c r="H187" s="54">
        <f t="shared" si="7"/>
        <v>587.87999999999988</v>
      </c>
      <c r="I187" s="55">
        <v>0</v>
      </c>
      <c r="J187" s="75">
        <f t="shared" si="8"/>
        <v>587.87999999999988</v>
      </c>
      <c r="K187" s="57">
        <f t="shared" si="9"/>
        <v>573.12</v>
      </c>
    </row>
    <row r="188" spans="1:11" ht="15" x14ac:dyDescent="0.2">
      <c r="A188" s="50" t="s">
        <v>38</v>
      </c>
      <c r="B188" s="51" t="s">
        <v>322</v>
      </c>
      <c r="C188" s="51"/>
      <c r="D188" s="58" t="s">
        <v>464</v>
      </c>
      <c r="E188" s="53">
        <v>24</v>
      </c>
      <c r="F188" s="9">
        <v>15.92</v>
      </c>
      <c r="G188" s="10">
        <v>16.329999999999998</v>
      </c>
      <c r="H188" s="54">
        <f t="shared" si="7"/>
        <v>391.91999999999996</v>
      </c>
      <c r="I188" s="55">
        <v>0</v>
      </c>
      <c r="J188" s="75">
        <f t="shared" si="8"/>
        <v>391.91999999999996</v>
      </c>
      <c r="K188" s="57">
        <f t="shared" si="9"/>
        <v>382.08</v>
      </c>
    </row>
    <row r="189" spans="1:11" ht="15" x14ac:dyDescent="0.2">
      <c r="A189" s="50" t="s">
        <v>38</v>
      </c>
      <c r="B189" s="51" t="s">
        <v>317</v>
      </c>
      <c r="C189" s="51"/>
      <c r="D189" s="58" t="s">
        <v>459</v>
      </c>
      <c r="E189" s="53">
        <v>36</v>
      </c>
      <c r="F189" s="9">
        <v>59.17</v>
      </c>
      <c r="G189" s="10">
        <v>60</v>
      </c>
      <c r="H189" s="54">
        <f t="shared" si="7"/>
        <v>2160</v>
      </c>
      <c r="I189" s="55">
        <v>0</v>
      </c>
      <c r="J189" s="75">
        <f t="shared" si="8"/>
        <v>2160</v>
      </c>
      <c r="K189" s="57">
        <f t="shared" si="9"/>
        <v>2130.12</v>
      </c>
    </row>
    <row r="190" spans="1:11" ht="15" x14ac:dyDescent="0.2">
      <c r="A190" s="50" t="s">
        <v>38</v>
      </c>
      <c r="B190" s="51" t="s">
        <v>330</v>
      </c>
      <c r="C190" s="51"/>
      <c r="D190" s="58" t="s">
        <v>472</v>
      </c>
      <c r="E190" s="53">
        <v>12</v>
      </c>
      <c r="F190" s="9">
        <v>58.67</v>
      </c>
      <c r="G190" s="10">
        <v>60</v>
      </c>
      <c r="H190" s="54">
        <f t="shared" si="7"/>
        <v>720</v>
      </c>
      <c r="I190" s="55">
        <v>0</v>
      </c>
      <c r="J190" s="75">
        <f t="shared" si="8"/>
        <v>720</v>
      </c>
      <c r="K190" s="57">
        <f t="shared" si="9"/>
        <v>704.04</v>
      </c>
    </row>
    <row r="191" spans="1:11" ht="15" x14ac:dyDescent="0.2">
      <c r="A191" s="50" t="s">
        <v>38</v>
      </c>
      <c r="B191" s="51" t="s">
        <v>316</v>
      </c>
      <c r="C191" s="51" t="s">
        <v>364</v>
      </c>
      <c r="D191" s="58" t="s">
        <v>458</v>
      </c>
      <c r="E191" s="53">
        <v>60</v>
      </c>
      <c r="F191" s="9">
        <v>15.92</v>
      </c>
      <c r="G191" s="10">
        <v>16.329999999999998</v>
      </c>
      <c r="H191" s="54">
        <f t="shared" si="7"/>
        <v>979.8</v>
      </c>
      <c r="I191" s="55">
        <v>0</v>
      </c>
      <c r="J191" s="75">
        <f t="shared" si="8"/>
        <v>979.8</v>
      </c>
      <c r="K191" s="57">
        <f t="shared" si="9"/>
        <v>955.2</v>
      </c>
    </row>
    <row r="192" spans="1:11" ht="15" x14ac:dyDescent="0.2">
      <c r="A192" s="50" t="s">
        <v>38</v>
      </c>
      <c r="B192" s="51" t="s">
        <v>322</v>
      </c>
      <c r="C192" s="51"/>
      <c r="D192" s="58" t="s">
        <v>464</v>
      </c>
      <c r="E192" s="53">
        <v>60</v>
      </c>
      <c r="F192" s="9">
        <v>15.92</v>
      </c>
      <c r="G192" s="10">
        <v>16.329999999999998</v>
      </c>
      <c r="H192" s="54">
        <f t="shared" si="7"/>
        <v>979.8</v>
      </c>
      <c r="I192" s="55">
        <v>0</v>
      </c>
      <c r="J192" s="75">
        <f t="shared" si="8"/>
        <v>979.8</v>
      </c>
      <c r="K192" s="57">
        <f t="shared" si="9"/>
        <v>955.2</v>
      </c>
    </row>
    <row r="193" spans="1:14" ht="15" x14ac:dyDescent="0.2">
      <c r="A193" s="50" t="s">
        <v>38</v>
      </c>
      <c r="B193" s="51" t="s">
        <v>323</v>
      </c>
      <c r="C193" s="51"/>
      <c r="D193" s="58" t="s">
        <v>465</v>
      </c>
      <c r="E193" s="53">
        <v>120</v>
      </c>
      <c r="F193" s="9">
        <v>15.92</v>
      </c>
      <c r="G193" s="10">
        <v>16.329999999999998</v>
      </c>
      <c r="H193" s="54">
        <f t="shared" si="7"/>
        <v>1959.6</v>
      </c>
      <c r="I193" s="55">
        <v>0</v>
      </c>
      <c r="J193" s="75">
        <f t="shared" si="8"/>
        <v>1959.6</v>
      </c>
      <c r="K193" s="57">
        <f t="shared" si="9"/>
        <v>1910.4</v>
      </c>
    </row>
    <row r="194" spans="1:14" ht="15" x14ac:dyDescent="0.2">
      <c r="A194" s="50" t="s">
        <v>38</v>
      </c>
      <c r="B194" s="51" t="s">
        <v>313</v>
      </c>
      <c r="C194" s="51"/>
      <c r="D194" s="58" t="s">
        <v>455</v>
      </c>
      <c r="E194" s="53">
        <v>24</v>
      </c>
      <c r="F194" s="9">
        <v>7.04</v>
      </c>
      <c r="G194" s="10">
        <v>7.54</v>
      </c>
      <c r="H194" s="54">
        <f t="shared" si="7"/>
        <v>180.96</v>
      </c>
      <c r="I194" s="55">
        <v>0</v>
      </c>
      <c r="J194" s="75">
        <f t="shared" si="8"/>
        <v>180.96</v>
      </c>
      <c r="K194" s="57">
        <f t="shared" si="9"/>
        <v>168.96</v>
      </c>
    </row>
    <row r="195" spans="1:14" ht="15" x14ac:dyDescent="0.2">
      <c r="A195" s="50" t="s">
        <v>38</v>
      </c>
      <c r="B195" s="51" t="s">
        <v>314</v>
      </c>
      <c r="C195" s="51"/>
      <c r="D195" s="58" t="s">
        <v>456</v>
      </c>
      <c r="E195" s="53">
        <v>24</v>
      </c>
      <c r="F195" s="9">
        <v>6.88</v>
      </c>
      <c r="G195" s="10">
        <v>7.54</v>
      </c>
      <c r="H195" s="54">
        <f t="shared" si="7"/>
        <v>180.96</v>
      </c>
      <c r="I195" s="55">
        <v>0</v>
      </c>
      <c r="J195" s="75">
        <f t="shared" si="8"/>
        <v>180.96</v>
      </c>
      <c r="K195" s="57">
        <f t="shared" si="9"/>
        <v>165.12</v>
      </c>
    </row>
    <row r="196" spans="1:14" ht="15" x14ac:dyDescent="0.2">
      <c r="A196" s="50" t="s">
        <v>38</v>
      </c>
      <c r="B196" s="51" t="s">
        <v>329</v>
      </c>
      <c r="C196" s="51"/>
      <c r="D196" s="58" t="s">
        <v>471</v>
      </c>
      <c r="E196" s="53">
        <v>12</v>
      </c>
      <c r="F196" s="9">
        <v>21.33</v>
      </c>
      <c r="G196" s="10">
        <v>22.33</v>
      </c>
      <c r="H196" s="54">
        <f t="shared" si="7"/>
        <v>267.95999999999998</v>
      </c>
      <c r="I196" s="55">
        <v>0</v>
      </c>
      <c r="J196" s="75">
        <f t="shared" si="8"/>
        <v>267.95999999999998</v>
      </c>
      <c r="K196" s="57">
        <f t="shared" si="9"/>
        <v>255.95999999999998</v>
      </c>
    </row>
    <row r="197" spans="1:14" ht="15" x14ac:dyDescent="0.2">
      <c r="A197" s="50" t="s">
        <v>38</v>
      </c>
      <c r="B197" s="51" t="s">
        <v>329</v>
      </c>
      <c r="C197" s="51" t="s">
        <v>365</v>
      </c>
      <c r="D197" s="58" t="s">
        <v>471</v>
      </c>
      <c r="E197" s="53">
        <v>6</v>
      </c>
      <c r="F197" s="9">
        <v>21.33</v>
      </c>
      <c r="G197" s="10">
        <v>22.33</v>
      </c>
      <c r="H197" s="54">
        <f t="shared" si="7"/>
        <v>133.97999999999999</v>
      </c>
      <c r="I197" s="55">
        <v>0</v>
      </c>
      <c r="J197" s="75">
        <f t="shared" si="8"/>
        <v>133.97999999999999</v>
      </c>
      <c r="K197" s="57">
        <f t="shared" si="9"/>
        <v>127.97999999999999</v>
      </c>
    </row>
    <row r="198" spans="1:14" ht="15" x14ac:dyDescent="0.2">
      <c r="A198" s="50" t="s">
        <v>38</v>
      </c>
      <c r="B198" s="51" t="s">
        <v>325</v>
      </c>
      <c r="C198" s="51"/>
      <c r="D198" s="58" t="s">
        <v>467</v>
      </c>
      <c r="E198" s="53">
        <v>18</v>
      </c>
      <c r="F198" s="9">
        <v>21.33</v>
      </c>
      <c r="G198" s="10">
        <v>22.33</v>
      </c>
      <c r="H198" s="54">
        <f t="shared" ref="H198:H261" si="10">E198*G198</f>
        <v>401.93999999999994</v>
      </c>
      <c r="I198" s="55">
        <v>0</v>
      </c>
      <c r="J198" s="75">
        <f t="shared" ref="J198:J261" si="11">(G198*E198)-I198</f>
        <v>401.93999999999994</v>
      </c>
      <c r="K198" s="57">
        <f t="shared" ref="K198:K261" si="12">E198*F198</f>
        <v>383.93999999999994</v>
      </c>
    </row>
    <row r="199" spans="1:14" ht="15" x14ac:dyDescent="0.2">
      <c r="A199" s="50" t="s">
        <v>38</v>
      </c>
      <c r="B199" s="51" t="s">
        <v>312</v>
      </c>
      <c r="C199" s="51"/>
      <c r="D199" s="58" t="s">
        <v>454</v>
      </c>
      <c r="E199" s="53">
        <v>48</v>
      </c>
      <c r="F199" s="9">
        <v>6.88</v>
      </c>
      <c r="G199" s="10">
        <v>7.54</v>
      </c>
      <c r="H199" s="54">
        <f t="shared" si="10"/>
        <v>361.92</v>
      </c>
      <c r="I199" s="55">
        <v>0</v>
      </c>
      <c r="J199" s="75">
        <f t="shared" si="11"/>
        <v>361.92</v>
      </c>
      <c r="K199" s="57">
        <f t="shared" si="12"/>
        <v>330.24</v>
      </c>
    </row>
    <row r="200" spans="1:14" ht="15" x14ac:dyDescent="0.2">
      <c r="A200" s="50" t="s">
        <v>38</v>
      </c>
      <c r="B200" s="51" t="s">
        <v>313</v>
      </c>
      <c r="C200" s="51"/>
      <c r="D200" s="58" t="s">
        <v>455</v>
      </c>
      <c r="E200" s="53">
        <v>12</v>
      </c>
      <c r="F200" s="9">
        <v>7.04</v>
      </c>
      <c r="G200" s="10">
        <v>7.54</v>
      </c>
      <c r="H200" s="54">
        <f t="shared" si="10"/>
        <v>90.48</v>
      </c>
      <c r="I200" s="55">
        <v>0</v>
      </c>
      <c r="J200" s="75">
        <f t="shared" si="11"/>
        <v>90.48</v>
      </c>
      <c r="K200" s="57">
        <f t="shared" si="12"/>
        <v>84.48</v>
      </c>
    </row>
    <row r="201" spans="1:14" ht="15" x14ac:dyDescent="0.2">
      <c r="A201" s="50" t="s">
        <v>38</v>
      </c>
      <c r="B201" s="51" t="s">
        <v>314</v>
      </c>
      <c r="C201" s="51"/>
      <c r="D201" s="58" t="s">
        <v>456</v>
      </c>
      <c r="E201" s="53">
        <v>12</v>
      </c>
      <c r="F201" s="9">
        <v>6.88</v>
      </c>
      <c r="G201" s="10">
        <v>7.54</v>
      </c>
      <c r="H201" s="54">
        <f t="shared" si="10"/>
        <v>90.48</v>
      </c>
      <c r="I201" s="55">
        <v>0</v>
      </c>
      <c r="J201" s="75">
        <f t="shared" si="11"/>
        <v>90.48</v>
      </c>
      <c r="K201" s="57">
        <f t="shared" si="12"/>
        <v>82.56</v>
      </c>
    </row>
    <row r="202" spans="1:14" ht="15" x14ac:dyDescent="0.2">
      <c r="A202" s="50" t="s">
        <v>38</v>
      </c>
      <c r="B202" s="51" t="s">
        <v>317</v>
      </c>
      <c r="C202" s="51"/>
      <c r="D202" s="58" t="s">
        <v>459</v>
      </c>
      <c r="E202" s="53">
        <v>24</v>
      </c>
      <c r="F202" s="9">
        <v>59.17</v>
      </c>
      <c r="G202" s="10">
        <v>60</v>
      </c>
      <c r="H202" s="54">
        <f t="shared" si="10"/>
        <v>1440</v>
      </c>
      <c r="I202" s="55">
        <v>0</v>
      </c>
      <c r="J202" s="75">
        <f t="shared" si="11"/>
        <v>1440</v>
      </c>
      <c r="K202" s="57">
        <f t="shared" si="12"/>
        <v>1420.08</v>
      </c>
    </row>
    <row r="203" spans="1:14" ht="15" x14ac:dyDescent="0.2">
      <c r="A203" s="50" t="s">
        <v>38</v>
      </c>
      <c r="B203" s="51" t="s">
        <v>332</v>
      </c>
      <c r="C203" s="51"/>
      <c r="D203" s="58" t="s">
        <v>474</v>
      </c>
      <c r="E203" s="53">
        <v>24</v>
      </c>
      <c r="F203" s="9">
        <v>14.58</v>
      </c>
      <c r="G203" s="10">
        <v>15.92</v>
      </c>
      <c r="H203" s="54">
        <f t="shared" si="10"/>
        <v>382.08</v>
      </c>
      <c r="I203" s="55">
        <v>0</v>
      </c>
      <c r="J203" s="75">
        <f t="shared" si="11"/>
        <v>382.08</v>
      </c>
      <c r="K203" s="57">
        <f t="shared" si="12"/>
        <v>349.92</v>
      </c>
    </row>
    <row r="204" spans="1:14" ht="15" x14ac:dyDescent="0.2">
      <c r="A204" s="50" t="s">
        <v>38</v>
      </c>
      <c r="B204" s="51" t="s">
        <v>331</v>
      </c>
      <c r="C204" s="51"/>
      <c r="D204" s="58" t="s">
        <v>473</v>
      </c>
      <c r="E204" s="53">
        <v>24</v>
      </c>
      <c r="F204" s="9">
        <v>8.7100000000000009</v>
      </c>
      <c r="G204" s="10">
        <v>9.3800000000000008</v>
      </c>
      <c r="H204" s="54">
        <f t="shared" si="10"/>
        <v>225.12</v>
      </c>
      <c r="I204" s="55">
        <v>0</v>
      </c>
      <c r="J204" s="75">
        <f t="shared" si="11"/>
        <v>225.12</v>
      </c>
      <c r="K204" s="57">
        <f t="shared" si="12"/>
        <v>209.04000000000002</v>
      </c>
    </row>
    <row r="205" spans="1:14" ht="15" x14ac:dyDescent="0.2">
      <c r="A205" s="50" t="s">
        <v>38</v>
      </c>
      <c r="B205" s="51" t="s">
        <v>316</v>
      </c>
      <c r="C205" s="51"/>
      <c r="D205" s="58" t="s">
        <v>458</v>
      </c>
      <c r="E205" s="53">
        <v>120</v>
      </c>
      <c r="F205" s="9">
        <v>15.92</v>
      </c>
      <c r="G205" s="10">
        <v>16.329999999999998</v>
      </c>
      <c r="H205" s="54">
        <f t="shared" si="10"/>
        <v>1959.6</v>
      </c>
      <c r="I205" s="55">
        <v>0</v>
      </c>
      <c r="J205" s="75">
        <f t="shared" si="11"/>
        <v>1959.6</v>
      </c>
      <c r="K205" s="57">
        <f t="shared" si="12"/>
        <v>1910.4</v>
      </c>
      <c r="L205" s="2">
        <v>68920.56</v>
      </c>
      <c r="M205" s="2">
        <v>68926</v>
      </c>
      <c r="N205" s="22">
        <f>M205-L205</f>
        <v>5.4400000000023283</v>
      </c>
    </row>
    <row r="206" spans="1:14" ht="15" x14ac:dyDescent="0.2">
      <c r="A206" s="50" t="s">
        <v>39</v>
      </c>
      <c r="B206" s="51" t="s">
        <v>317</v>
      </c>
      <c r="C206" s="51" t="s">
        <v>366</v>
      </c>
      <c r="D206" s="58" t="s">
        <v>459</v>
      </c>
      <c r="E206" s="53">
        <v>60</v>
      </c>
      <c r="F206" s="9">
        <v>59.17</v>
      </c>
      <c r="G206" s="10">
        <v>60</v>
      </c>
      <c r="H206" s="54">
        <f t="shared" si="10"/>
        <v>3600</v>
      </c>
      <c r="I206" s="55">
        <v>0</v>
      </c>
      <c r="J206" s="75">
        <f t="shared" si="11"/>
        <v>3600</v>
      </c>
      <c r="K206" s="57">
        <f t="shared" si="12"/>
        <v>3550.2000000000003</v>
      </c>
    </row>
    <row r="207" spans="1:14" ht="15" x14ac:dyDescent="0.2">
      <c r="A207" s="50" t="s">
        <v>39</v>
      </c>
      <c r="B207" s="51" t="s">
        <v>328</v>
      </c>
      <c r="C207" s="51"/>
      <c r="D207" s="58" t="s">
        <v>470</v>
      </c>
      <c r="E207" s="53">
        <v>12</v>
      </c>
      <c r="F207" s="9">
        <v>59.17</v>
      </c>
      <c r="G207" s="10">
        <v>60</v>
      </c>
      <c r="H207" s="54">
        <f t="shared" si="10"/>
        <v>720</v>
      </c>
      <c r="I207" s="55">
        <v>0</v>
      </c>
      <c r="J207" s="75">
        <f t="shared" si="11"/>
        <v>720</v>
      </c>
      <c r="K207" s="57">
        <f t="shared" si="12"/>
        <v>710.04</v>
      </c>
    </row>
    <row r="208" spans="1:14" ht="15" x14ac:dyDescent="0.2">
      <c r="A208" s="50" t="s">
        <v>39</v>
      </c>
      <c r="B208" s="51" t="s">
        <v>318</v>
      </c>
      <c r="C208" s="51"/>
      <c r="D208" s="58" t="s">
        <v>460</v>
      </c>
      <c r="E208" s="53">
        <v>12</v>
      </c>
      <c r="F208" s="9">
        <v>59.17</v>
      </c>
      <c r="G208" s="10">
        <v>60</v>
      </c>
      <c r="H208" s="54">
        <f t="shared" si="10"/>
        <v>720</v>
      </c>
      <c r="I208" s="55">
        <v>0</v>
      </c>
      <c r="J208" s="75">
        <f t="shared" si="11"/>
        <v>720</v>
      </c>
      <c r="K208" s="57">
        <f t="shared" si="12"/>
        <v>710.04</v>
      </c>
      <c r="N208" s="59"/>
    </row>
    <row r="209" spans="1:11" ht="15" x14ac:dyDescent="0.2">
      <c r="A209" s="50" t="s">
        <v>39</v>
      </c>
      <c r="B209" s="51" t="s">
        <v>319</v>
      </c>
      <c r="C209" s="51"/>
      <c r="D209" s="58" t="s">
        <v>461</v>
      </c>
      <c r="E209" s="53">
        <v>60</v>
      </c>
      <c r="F209" s="9">
        <v>11.58</v>
      </c>
      <c r="G209" s="10">
        <v>12</v>
      </c>
      <c r="H209" s="54">
        <f t="shared" si="10"/>
        <v>720</v>
      </c>
      <c r="I209" s="55">
        <v>0</v>
      </c>
      <c r="J209" s="75">
        <f t="shared" si="11"/>
        <v>720</v>
      </c>
      <c r="K209" s="57">
        <f t="shared" si="12"/>
        <v>694.8</v>
      </c>
    </row>
    <row r="210" spans="1:11" ht="15" x14ac:dyDescent="0.2">
      <c r="A210" s="50" t="s">
        <v>39</v>
      </c>
      <c r="B210" s="51" t="s">
        <v>316</v>
      </c>
      <c r="C210" s="51"/>
      <c r="D210" s="58" t="s">
        <v>458</v>
      </c>
      <c r="E210" s="53">
        <v>60</v>
      </c>
      <c r="F210" s="9">
        <v>15.92</v>
      </c>
      <c r="G210" s="10">
        <v>16.329999999999998</v>
      </c>
      <c r="H210" s="54">
        <f t="shared" si="10"/>
        <v>979.8</v>
      </c>
      <c r="I210" s="55">
        <v>0</v>
      </c>
      <c r="J210" s="75">
        <f t="shared" si="11"/>
        <v>979.8</v>
      </c>
      <c r="K210" s="57">
        <f t="shared" si="12"/>
        <v>955.2</v>
      </c>
    </row>
    <row r="211" spans="1:11" ht="15" x14ac:dyDescent="0.2">
      <c r="A211" s="50" t="s">
        <v>39</v>
      </c>
      <c r="B211" s="51" t="s">
        <v>333</v>
      </c>
      <c r="C211" s="51"/>
      <c r="D211" s="58" t="s">
        <v>475</v>
      </c>
      <c r="E211" s="53">
        <v>24</v>
      </c>
      <c r="F211" s="9">
        <v>15.83</v>
      </c>
      <c r="G211" s="10">
        <v>16.329999999999998</v>
      </c>
      <c r="H211" s="54">
        <f t="shared" si="10"/>
        <v>391.91999999999996</v>
      </c>
      <c r="I211" s="55">
        <v>0</v>
      </c>
      <c r="J211" s="75">
        <f t="shared" si="11"/>
        <v>391.91999999999996</v>
      </c>
      <c r="K211" s="57">
        <f t="shared" si="12"/>
        <v>379.92</v>
      </c>
    </row>
    <row r="212" spans="1:11" ht="15" x14ac:dyDescent="0.2">
      <c r="A212" s="50" t="s">
        <v>39</v>
      </c>
      <c r="B212" s="51" t="s">
        <v>316</v>
      </c>
      <c r="C212" s="51" t="s">
        <v>367</v>
      </c>
      <c r="D212" s="58" t="s">
        <v>458</v>
      </c>
      <c r="E212" s="53">
        <v>12</v>
      </c>
      <c r="F212" s="9">
        <v>15.92</v>
      </c>
      <c r="G212" s="10">
        <v>16.329999999999998</v>
      </c>
      <c r="H212" s="54">
        <f t="shared" si="10"/>
        <v>195.95999999999998</v>
      </c>
      <c r="I212" s="55">
        <v>0</v>
      </c>
      <c r="J212" s="75">
        <f t="shared" si="11"/>
        <v>195.95999999999998</v>
      </c>
      <c r="K212" s="57">
        <f t="shared" si="12"/>
        <v>191.04</v>
      </c>
    </row>
    <row r="213" spans="1:11" ht="15" x14ac:dyDescent="0.2">
      <c r="A213" s="50" t="s">
        <v>39</v>
      </c>
      <c r="B213" s="51" t="s">
        <v>322</v>
      </c>
      <c r="C213" s="51"/>
      <c r="D213" s="58" t="s">
        <v>464</v>
      </c>
      <c r="E213" s="53">
        <v>12</v>
      </c>
      <c r="F213" s="9">
        <v>15.92</v>
      </c>
      <c r="G213" s="10">
        <v>16.329999999999998</v>
      </c>
      <c r="H213" s="54">
        <f t="shared" si="10"/>
        <v>195.95999999999998</v>
      </c>
      <c r="I213" s="55">
        <v>0</v>
      </c>
      <c r="J213" s="75">
        <f t="shared" si="11"/>
        <v>195.95999999999998</v>
      </c>
      <c r="K213" s="57">
        <f t="shared" si="12"/>
        <v>191.04</v>
      </c>
    </row>
    <row r="214" spans="1:11" ht="15" x14ac:dyDescent="0.2">
      <c r="A214" s="50" t="s">
        <v>39</v>
      </c>
      <c r="B214" s="51" t="s">
        <v>323</v>
      </c>
      <c r="C214" s="51"/>
      <c r="D214" s="58" t="s">
        <v>465</v>
      </c>
      <c r="E214" s="53">
        <v>12</v>
      </c>
      <c r="F214" s="9">
        <v>15.92</v>
      </c>
      <c r="G214" s="10">
        <v>16.329999999999998</v>
      </c>
      <c r="H214" s="54">
        <f t="shared" si="10"/>
        <v>195.95999999999998</v>
      </c>
      <c r="I214" s="55">
        <v>0</v>
      </c>
      <c r="J214" s="75">
        <f t="shared" si="11"/>
        <v>195.95999999999998</v>
      </c>
      <c r="K214" s="57">
        <f t="shared" si="12"/>
        <v>191.04</v>
      </c>
    </row>
    <row r="215" spans="1:11" ht="15" x14ac:dyDescent="0.2">
      <c r="A215" s="50" t="s">
        <v>39</v>
      </c>
      <c r="B215" s="51" t="s">
        <v>317</v>
      </c>
      <c r="C215" s="51"/>
      <c r="D215" s="58" t="s">
        <v>459</v>
      </c>
      <c r="E215" s="53">
        <v>12</v>
      </c>
      <c r="F215" s="9">
        <v>59.17</v>
      </c>
      <c r="G215" s="10">
        <v>60</v>
      </c>
      <c r="H215" s="54">
        <f t="shared" si="10"/>
        <v>720</v>
      </c>
      <c r="I215" s="55">
        <v>0</v>
      </c>
      <c r="J215" s="75">
        <f t="shared" si="11"/>
        <v>720</v>
      </c>
      <c r="K215" s="57">
        <f t="shared" si="12"/>
        <v>710.04</v>
      </c>
    </row>
    <row r="216" spans="1:11" ht="15" x14ac:dyDescent="0.2">
      <c r="A216" s="50" t="s">
        <v>39</v>
      </c>
      <c r="B216" s="51" t="s">
        <v>325</v>
      </c>
      <c r="C216" s="51"/>
      <c r="D216" s="58" t="s">
        <v>467</v>
      </c>
      <c r="E216" s="53">
        <v>12</v>
      </c>
      <c r="F216" s="9">
        <v>21.33</v>
      </c>
      <c r="G216" s="10">
        <v>22.33</v>
      </c>
      <c r="H216" s="54">
        <f t="shared" si="10"/>
        <v>267.95999999999998</v>
      </c>
      <c r="I216" s="55">
        <v>0</v>
      </c>
      <c r="J216" s="75">
        <f t="shared" si="11"/>
        <v>267.95999999999998</v>
      </c>
      <c r="K216" s="57">
        <f t="shared" si="12"/>
        <v>255.95999999999998</v>
      </c>
    </row>
    <row r="217" spans="1:11" ht="15" x14ac:dyDescent="0.2">
      <c r="A217" s="50" t="s">
        <v>39</v>
      </c>
      <c r="B217" s="51" t="s">
        <v>329</v>
      </c>
      <c r="C217" s="51"/>
      <c r="D217" s="58" t="s">
        <v>471</v>
      </c>
      <c r="E217" s="53">
        <v>36</v>
      </c>
      <c r="F217" s="9">
        <v>21.33</v>
      </c>
      <c r="G217" s="10">
        <v>22.33</v>
      </c>
      <c r="H217" s="54">
        <f t="shared" si="10"/>
        <v>803.87999999999988</v>
      </c>
      <c r="I217" s="55">
        <v>0</v>
      </c>
      <c r="J217" s="75">
        <f t="shared" si="11"/>
        <v>803.87999999999988</v>
      </c>
      <c r="K217" s="57">
        <f t="shared" si="12"/>
        <v>767.87999999999988</v>
      </c>
    </row>
    <row r="218" spans="1:11" ht="15" x14ac:dyDescent="0.2">
      <c r="A218" s="50" t="s">
        <v>39</v>
      </c>
      <c r="B218" s="51" t="s">
        <v>335</v>
      </c>
      <c r="C218" s="51"/>
      <c r="D218" s="58" t="s">
        <v>477</v>
      </c>
      <c r="E218" s="53">
        <v>72</v>
      </c>
      <c r="F218" s="9">
        <v>7.04</v>
      </c>
      <c r="G218" s="10">
        <v>7.54</v>
      </c>
      <c r="H218" s="54">
        <f t="shared" si="10"/>
        <v>542.88</v>
      </c>
      <c r="I218" s="55">
        <v>0</v>
      </c>
      <c r="J218" s="75">
        <f t="shared" si="11"/>
        <v>542.88</v>
      </c>
      <c r="K218" s="57">
        <f t="shared" si="12"/>
        <v>506.88</v>
      </c>
    </row>
    <row r="219" spans="1:11" ht="15" x14ac:dyDescent="0.2">
      <c r="A219" s="50" t="s">
        <v>39</v>
      </c>
      <c r="B219" s="51" t="s">
        <v>313</v>
      </c>
      <c r="C219" s="51"/>
      <c r="D219" s="58" t="s">
        <v>455</v>
      </c>
      <c r="E219" s="53">
        <v>24</v>
      </c>
      <c r="F219" s="9">
        <v>7.04</v>
      </c>
      <c r="G219" s="10">
        <v>7.54</v>
      </c>
      <c r="H219" s="54">
        <f t="shared" si="10"/>
        <v>180.96</v>
      </c>
      <c r="I219" s="55">
        <v>0</v>
      </c>
      <c r="J219" s="75">
        <f t="shared" si="11"/>
        <v>180.96</v>
      </c>
      <c r="K219" s="57">
        <f t="shared" si="12"/>
        <v>168.96</v>
      </c>
    </row>
    <row r="220" spans="1:11" ht="15" x14ac:dyDescent="0.2">
      <c r="A220" s="50" t="s">
        <v>39</v>
      </c>
      <c r="B220" s="51" t="s">
        <v>314</v>
      </c>
      <c r="C220" s="51"/>
      <c r="D220" s="58" t="s">
        <v>456</v>
      </c>
      <c r="E220" s="53">
        <v>24</v>
      </c>
      <c r="F220" s="9">
        <v>6.88</v>
      </c>
      <c r="G220" s="10">
        <v>7.54</v>
      </c>
      <c r="H220" s="54">
        <f t="shared" si="10"/>
        <v>180.96</v>
      </c>
      <c r="I220" s="55">
        <v>0</v>
      </c>
      <c r="J220" s="75">
        <f t="shared" si="11"/>
        <v>180.96</v>
      </c>
      <c r="K220" s="57">
        <f t="shared" si="12"/>
        <v>165.12</v>
      </c>
    </row>
    <row r="221" spans="1:11" ht="15" x14ac:dyDescent="0.2">
      <c r="A221" s="50" t="s">
        <v>39</v>
      </c>
      <c r="B221" s="51" t="s">
        <v>316</v>
      </c>
      <c r="C221" s="51" t="s">
        <v>368</v>
      </c>
      <c r="D221" s="58" t="s">
        <v>458</v>
      </c>
      <c r="E221" s="53">
        <v>48</v>
      </c>
      <c r="F221" s="9">
        <v>15.92</v>
      </c>
      <c r="G221" s="10">
        <v>16.329999999999998</v>
      </c>
      <c r="H221" s="54">
        <f t="shared" si="10"/>
        <v>783.83999999999992</v>
      </c>
      <c r="I221" s="55">
        <v>0</v>
      </c>
      <c r="J221" s="75">
        <f t="shared" si="11"/>
        <v>783.83999999999992</v>
      </c>
      <c r="K221" s="57">
        <f t="shared" si="12"/>
        <v>764.16</v>
      </c>
    </row>
    <row r="222" spans="1:11" ht="15" x14ac:dyDescent="0.2">
      <c r="A222" s="50" t="s">
        <v>39</v>
      </c>
      <c r="B222" s="51" t="s">
        <v>322</v>
      </c>
      <c r="C222" s="51"/>
      <c r="D222" s="58" t="s">
        <v>464</v>
      </c>
      <c r="E222" s="53">
        <v>12</v>
      </c>
      <c r="F222" s="9">
        <v>15.92</v>
      </c>
      <c r="G222" s="10">
        <v>16.329999999999998</v>
      </c>
      <c r="H222" s="54">
        <f t="shared" si="10"/>
        <v>195.95999999999998</v>
      </c>
      <c r="I222" s="55">
        <v>0</v>
      </c>
      <c r="J222" s="75">
        <f t="shared" si="11"/>
        <v>195.95999999999998</v>
      </c>
      <c r="K222" s="57">
        <f t="shared" si="12"/>
        <v>191.04</v>
      </c>
    </row>
    <row r="223" spans="1:11" ht="15" x14ac:dyDescent="0.2">
      <c r="A223" s="50" t="s">
        <v>39</v>
      </c>
      <c r="B223" s="51" t="s">
        <v>323</v>
      </c>
      <c r="C223" s="51"/>
      <c r="D223" s="58" t="s">
        <v>465</v>
      </c>
      <c r="E223" s="53">
        <v>12</v>
      </c>
      <c r="F223" s="9">
        <v>15.92</v>
      </c>
      <c r="G223" s="10">
        <v>16.329999999999998</v>
      </c>
      <c r="H223" s="54">
        <f t="shared" si="10"/>
        <v>195.95999999999998</v>
      </c>
      <c r="I223" s="55">
        <v>0</v>
      </c>
      <c r="J223" s="75">
        <f t="shared" si="11"/>
        <v>195.95999999999998</v>
      </c>
      <c r="K223" s="57">
        <f t="shared" si="12"/>
        <v>191.04</v>
      </c>
    </row>
    <row r="224" spans="1:11" ht="15" x14ac:dyDescent="0.2">
      <c r="A224" s="50" t="s">
        <v>39</v>
      </c>
      <c r="B224" s="51" t="s">
        <v>317</v>
      </c>
      <c r="C224" s="51"/>
      <c r="D224" s="58" t="s">
        <v>459</v>
      </c>
      <c r="E224" s="53">
        <v>10</v>
      </c>
      <c r="F224" s="9">
        <v>59.17</v>
      </c>
      <c r="G224" s="10">
        <v>60</v>
      </c>
      <c r="H224" s="54">
        <f t="shared" si="10"/>
        <v>600</v>
      </c>
      <c r="I224" s="55">
        <v>0</v>
      </c>
      <c r="J224" s="75">
        <f t="shared" si="11"/>
        <v>600</v>
      </c>
      <c r="K224" s="57">
        <f t="shared" si="12"/>
        <v>591.70000000000005</v>
      </c>
    </row>
    <row r="225" spans="1:15" ht="15" x14ac:dyDescent="0.2">
      <c r="A225" s="50" t="s">
        <v>39</v>
      </c>
      <c r="B225" s="51" t="s">
        <v>318</v>
      </c>
      <c r="C225" s="51"/>
      <c r="D225" s="58" t="s">
        <v>460</v>
      </c>
      <c r="E225" s="53">
        <v>2</v>
      </c>
      <c r="F225" s="9">
        <v>59.17</v>
      </c>
      <c r="G225" s="10">
        <v>60</v>
      </c>
      <c r="H225" s="54">
        <f t="shared" si="10"/>
        <v>120</v>
      </c>
      <c r="I225" s="55">
        <v>0</v>
      </c>
      <c r="J225" s="75">
        <f t="shared" si="11"/>
        <v>120</v>
      </c>
      <c r="K225" s="57">
        <f t="shared" si="12"/>
        <v>118.34</v>
      </c>
    </row>
    <row r="226" spans="1:15" ht="15" x14ac:dyDescent="0.2">
      <c r="A226" s="50" t="s">
        <v>39</v>
      </c>
      <c r="B226" s="51" t="s">
        <v>335</v>
      </c>
      <c r="C226" s="51"/>
      <c r="D226" s="58" t="s">
        <v>477</v>
      </c>
      <c r="E226" s="53">
        <v>216</v>
      </c>
      <c r="F226" s="9">
        <v>7.04</v>
      </c>
      <c r="G226" s="10">
        <v>7.54</v>
      </c>
      <c r="H226" s="54">
        <f t="shared" si="10"/>
        <v>1628.64</v>
      </c>
      <c r="I226" s="55">
        <v>0</v>
      </c>
      <c r="J226" s="75">
        <f t="shared" si="11"/>
        <v>1628.64</v>
      </c>
      <c r="K226" s="57">
        <f t="shared" si="12"/>
        <v>1520.64</v>
      </c>
    </row>
    <row r="227" spans="1:15" ht="15" x14ac:dyDescent="0.2">
      <c r="A227" s="50" t="s">
        <v>39</v>
      </c>
      <c r="B227" s="51" t="s">
        <v>313</v>
      </c>
      <c r="C227" s="51"/>
      <c r="D227" s="58" t="s">
        <v>455</v>
      </c>
      <c r="E227" s="53">
        <v>48</v>
      </c>
      <c r="F227" s="9">
        <v>7.04</v>
      </c>
      <c r="G227" s="10">
        <v>7.54</v>
      </c>
      <c r="H227" s="54">
        <f t="shared" si="10"/>
        <v>361.92</v>
      </c>
      <c r="I227" s="55">
        <v>0</v>
      </c>
      <c r="J227" s="75">
        <f t="shared" si="11"/>
        <v>361.92</v>
      </c>
      <c r="K227" s="57">
        <f t="shared" si="12"/>
        <v>337.92</v>
      </c>
    </row>
    <row r="228" spans="1:15" ht="15" x14ac:dyDescent="0.2">
      <c r="A228" s="50" t="s">
        <v>39</v>
      </c>
      <c r="B228" s="51" t="s">
        <v>314</v>
      </c>
      <c r="C228" s="51"/>
      <c r="D228" s="58" t="s">
        <v>456</v>
      </c>
      <c r="E228" s="53">
        <v>48</v>
      </c>
      <c r="F228" s="9">
        <v>6.88</v>
      </c>
      <c r="G228" s="10">
        <v>7.54</v>
      </c>
      <c r="H228" s="54">
        <f t="shared" si="10"/>
        <v>361.92</v>
      </c>
      <c r="I228" s="55">
        <v>0</v>
      </c>
      <c r="J228" s="75">
        <f t="shared" si="11"/>
        <v>361.92</v>
      </c>
      <c r="K228" s="57">
        <f t="shared" si="12"/>
        <v>330.24</v>
      </c>
    </row>
    <row r="229" spans="1:15" ht="15" x14ac:dyDescent="0.2">
      <c r="A229" s="50" t="s">
        <v>39</v>
      </c>
      <c r="B229" s="51" t="s">
        <v>335</v>
      </c>
      <c r="C229" s="51" t="s">
        <v>369</v>
      </c>
      <c r="D229" s="58" t="s">
        <v>477</v>
      </c>
      <c r="E229" s="53">
        <v>48</v>
      </c>
      <c r="F229" s="9">
        <v>7.04</v>
      </c>
      <c r="G229" s="10">
        <v>7.54</v>
      </c>
      <c r="H229" s="54">
        <f t="shared" si="10"/>
        <v>361.92</v>
      </c>
      <c r="I229" s="55">
        <v>0</v>
      </c>
      <c r="J229" s="75">
        <f t="shared" si="11"/>
        <v>361.92</v>
      </c>
      <c r="K229" s="57">
        <f t="shared" si="12"/>
        <v>337.92</v>
      </c>
    </row>
    <row r="230" spans="1:15" ht="15" x14ac:dyDescent="0.2">
      <c r="A230" s="50" t="s">
        <v>39</v>
      </c>
      <c r="B230" s="51" t="s">
        <v>316</v>
      </c>
      <c r="C230" s="51" t="s">
        <v>370</v>
      </c>
      <c r="D230" s="58" t="s">
        <v>458</v>
      </c>
      <c r="E230" s="53">
        <v>72</v>
      </c>
      <c r="F230" s="9">
        <v>15.92</v>
      </c>
      <c r="G230" s="10">
        <v>16.329999999999998</v>
      </c>
      <c r="H230" s="54">
        <f t="shared" si="10"/>
        <v>1175.7599999999998</v>
      </c>
      <c r="I230" s="55">
        <v>0</v>
      </c>
      <c r="J230" s="75">
        <f t="shared" si="11"/>
        <v>1175.7599999999998</v>
      </c>
      <c r="K230" s="57">
        <f t="shared" si="12"/>
        <v>1146.24</v>
      </c>
    </row>
    <row r="231" spans="1:15" ht="15" x14ac:dyDescent="0.2">
      <c r="A231" s="50" t="s">
        <v>39</v>
      </c>
      <c r="B231" s="51" t="s">
        <v>323</v>
      </c>
      <c r="C231" s="51"/>
      <c r="D231" s="58" t="s">
        <v>465</v>
      </c>
      <c r="E231" s="53">
        <v>12</v>
      </c>
      <c r="F231" s="9">
        <v>15.92</v>
      </c>
      <c r="G231" s="10">
        <v>16.329999999999998</v>
      </c>
      <c r="H231" s="54">
        <f t="shared" si="10"/>
        <v>195.95999999999998</v>
      </c>
      <c r="I231" s="55">
        <v>0</v>
      </c>
      <c r="J231" s="75">
        <f t="shared" si="11"/>
        <v>195.95999999999998</v>
      </c>
      <c r="K231" s="57">
        <f t="shared" si="12"/>
        <v>191.04</v>
      </c>
    </row>
    <row r="232" spans="1:15" ht="15" x14ac:dyDescent="0.2">
      <c r="A232" s="50" t="s">
        <v>39</v>
      </c>
      <c r="B232" s="51" t="s">
        <v>318</v>
      </c>
      <c r="C232" s="51"/>
      <c r="D232" s="58" t="s">
        <v>460</v>
      </c>
      <c r="E232" s="53">
        <v>12</v>
      </c>
      <c r="F232" s="9">
        <v>59.17</v>
      </c>
      <c r="G232" s="10">
        <v>60</v>
      </c>
      <c r="H232" s="54">
        <f t="shared" si="10"/>
        <v>720</v>
      </c>
      <c r="I232" s="55">
        <v>0</v>
      </c>
      <c r="J232" s="75">
        <f t="shared" si="11"/>
        <v>720</v>
      </c>
      <c r="K232" s="57">
        <f t="shared" si="12"/>
        <v>710.04</v>
      </c>
    </row>
    <row r="233" spans="1:15" ht="15" x14ac:dyDescent="0.2">
      <c r="A233" s="50" t="s">
        <v>39</v>
      </c>
      <c r="B233" s="51" t="s">
        <v>317</v>
      </c>
      <c r="C233" s="51"/>
      <c r="D233" s="58" t="s">
        <v>459</v>
      </c>
      <c r="E233" s="53">
        <v>6</v>
      </c>
      <c r="F233" s="9">
        <v>59.17</v>
      </c>
      <c r="G233" s="10">
        <v>60</v>
      </c>
      <c r="H233" s="54">
        <f t="shared" si="10"/>
        <v>360</v>
      </c>
      <c r="I233" s="55">
        <v>0</v>
      </c>
      <c r="J233" s="75">
        <f t="shared" si="11"/>
        <v>360</v>
      </c>
      <c r="K233" s="57">
        <f t="shared" si="12"/>
        <v>355.02</v>
      </c>
    </row>
    <row r="234" spans="1:15" ht="15" x14ac:dyDescent="0.2">
      <c r="A234" s="50" t="s">
        <v>39</v>
      </c>
      <c r="B234" s="51" t="s">
        <v>319</v>
      </c>
      <c r="C234" s="51"/>
      <c r="D234" s="58" t="s">
        <v>461</v>
      </c>
      <c r="E234" s="53">
        <v>24</v>
      </c>
      <c r="F234" s="9">
        <v>11.58</v>
      </c>
      <c r="G234" s="10">
        <v>12</v>
      </c>
      <c r="H234" s="54">
        <f t="shared" si="10"/>
        <v>288</v>
      </c>
      <c r="I234" s="55">
        <v>0</v>
      </c>
      <c r="J234" s="75">
        <f t="shared" si="11"/>
        <v>288</v>
      </c>
      <c r="K234" s="57">
        <f t="shared" si="12"/>
        <v>277.92</v>
      </c>
    </row>
    <row r="235" spans="1:15" ht="15" x14ac:dyDescent="0.2">
      <c r="A235" s="50" t="s">
        <v>39</v>
      </c>
      <c r="B235" s="51" t="s">
        <v>320</v>
      </c>
      <c r="C235" s="51"/>
      <c r="D235" s="58" t="s">
        <v>462</v>
      </c>
      <c r="E235" s="53">
        <v>12</v>
      </c>
      <c r="F235" s="9">
        <v>11.58</v>
      </c>
      <c r="G235" s="10">
        <v>12</v>
      </c>
      <c r="H235" s="54">
        <f t="shared" si="10"/>
        <v>144</v>
      </c>
      <c r="I235" s="55">
        <v>0</v>
      </c>
      <c r="J235" s="75">
        <f t="shared" si="11"/>
        <v>144</v>
      </c>
      <c r="K235" s="57">
        <f t="shared" si="12"/>
        <v>138.96</v>
      </c>
      <c r="N235" s="59"/>
    </row>
    <row r="236" spans="1:15" ht="15" x14ac:dyDescent="0.2">
      <c r="A236" s="50" t="s">
        <v>39</v>
      </c>
      <c r="B236" s="51" t="s">
        <v>335</v>
      </c>
      <c r="C236" s="51"/>
      <c r="D236" s="58" t="s">
        <v>477</v>
      </c>
      <c r="E236" s="53">
        <v>48</v>
      </c>
      <c r="F236" s="9">
        <v>7.04</v>
      </c>
      <c r="G236" s="10">
        <v>7.54</v>
      </c>
      <c r="H236" s="54">
        <f t="shared" si="10"/>
        <v>361.92</v>
      </c>
      <c r="I236" s="55">
        <v>0</v>
      </c>
      <c r="J236" s="75">
        <f t="shared" si="11"/>
        <v>361.92</v>
      </c>
      <c r="K236" s="57">
        <f t="shared" si="12"/>
        <v>337.92</v>
      </c>
      <c r="O236" s="59"/>
    </row>
    <row r="237" spans="1:15" ht="15" x14ac:dyDescent="0.2">
      <c r="A237" s="50" t="s">
        <v>39</v>
      </c>
      <c r="B237" s="51" t="s">
        <v>316</v>
      </c>
      <c r="C237" s="51" t="s">
        <v>371</v>
      </c>
      <c r="D237" s="58" t="s">
        <v>458</v>
      </c>
      <c r="E237" s="53">
        <v>36</v>
      </c>
      <c r="F237" s="9">
        <v>15.92</v>
      </c>
      <c r="G237" s="10">
        <v>16.329999999999998</v>
      </c>
      <c r="H237" s="54">
        <f t="shared" si="10"/>
        <v>587.87999999999988</v>
      </c>
      <c r="I237" s="55">
        <v>0</v>
      </c>
      <c r="J237" s="75">
        <f t="shared" si="11"/>
        <v>587.87999999999988</v>
      </c>
      <c r="K237" s="57">
        <f t="shared" si="12"/>
        <v>573.12</v>
      </c>
    </row>
    <row r="238" spans="1:15" ht="15" x14ac:dyDescent="0.2">
      <c r="A238" s="50" t="s">
        <v>39</v>
      </c>
      <c r="B238" s="51" t="s">
        <v>317</v>
      </c>
      <c r="C238" s="51"/>
      <c r="D238" s="58" t="s">
        <v>459</v>
      </c>
      <c r="E238" s="53">
        <v>12</v>
      </c>
      <c r="F238" s="9">
        <v>59.17</v>
      </c>
      <c r="G238" s="10">
        <v>60</v>
      </c>
      <c r="H238" s="54">
        <f t="shared" si="10"/>
        <v>720</v>
      </c>
      <c r="I238" s="55">
        <v>0</v>
      </c>
      <c r="J238" s="75">
        <f t="shared" si="11"/>
        <v>720</v>
      </c>
      <c r="K238" s="57">
        <f t="shared" si="12"/>
        <v>710.04</v>
      </c>
    </row>
    <row r="239" spans="1:15" ht="15" x14ac:dyDescent="0.2">
      <c r="A239" s="50" t="s">
        <v>39</v>
      </c>
      <c r="B239" s="51" t="s">
        <v>332</v>
      </c>
      <c r="C239" s="51"/>
      <c r="D239" s="58" t="s">
        <v>474</v>
      </c>
      <c r="E239" s="53">
        <v>12</v>
      </c>
      <c r="F239" s="9">
        <v>14.58</v>
      </c>
      <c r="G239" s="10">
        <v>15.92</v>
      </c>
      <c r="H239" s="54">
        <f t="shared" si="10"/>
        <v>191.04</v>
      </c>
      <c r="I239" s="55">
        <v>0</v>
      </c>
      <c r="J239" s="75">
        <f t="shared" si="11"/>
        <v>191.04</v>
      </c>
      <c r="K239" s="57">
        <f t="shared" si="12"/>
        <v>174.96</v>
      </c>
    </row>
    <row r="240" spans="1:15" ht="15" x14ac:dyDescent="0.2">
      <c r="A240" s="50" t="s">
        <v>39</v>
      </c>
      <c r="B240" s="51" t="s">
        <v>331</v>
      </c>
      <c r="C240" s="51"/>
      <c r="D240" s="58" t="s">
        <v>473</v>
      </c>
      <c r="E240" s="53">
        <v>48</v>
      </c>
      <c r="F240" s="9">
        <v>8.7100000000000009</v>
      </c>
      <c r="G240" s="10">
        <v>9.3800000000000008</v>
      </c>
      <c r="H240" s="54">
        <f t="shared" si="10"/>
        <v>450.24</v>
      </c>
      <c r="I240" s="55">
        <v>0</v>
      </c>
      <c r="J240" s="75">
        <f t="shared" si="11"/>
        <v>450.24</v>
      </c>
      <c r="K240" s="57">
        <f t="shared" si="12"/>
        <v>418.08000000000004</v>
      </c>
    </row>
    <row r="241" spans="1:11" ht="15" x14ac:dyDescent="0.2">
      <c r="A241" s="50" t="s">
        <v>39</v>
      </c>
      <c r="B241" s="51" t="s">
        <v>335</v>
      </c>
      <c r="C241" s="51"/>
      <c r="D241" s="58" t="s">
        <v>477</v>
      </c>
      <c r="E241" s="53">
        <v>48</v>
      </c>
      <c r="F241" s="9">
        <v>7.04</v>
      </c>
      <c r="G241" s="10">
        <v>7.54</v>
      </c>
      <c r="H241" s="54">
        <f t="shared" si="10"/>
        <v>361.92</v>
      </c>
      <c r="I241" s="55">
        <v>0</v>
      </c>
      <c r="J241" s="75">
        <f t="shared" si="11"/>
        <v>361.92</v>
      </c>
      <c r="K241" s="57">
        <f t="shared" si="12"/>
        <v>337.92</v>
      </c>
    </row>
    <row r="242" spans="1:11" ht="15" x14ac:dyDescent="0.2">
      <c r="A242" s="50" t="s">
        <v>39</v>
      </c>
      <c r="B242" s="51" t="s">
        <v>313</v>
      </c>
      <c r="C242" s="51"/>
      <c r="D242" s="58" t="s">
        <v>455</v>
      </c>
      <c r="E242" s="53">
        <v>24</v>
      </c>
      <c r="F242" s="9">
        <v>7.04</v>
      </c>
      <c r="G242" s="10">
        <v>7.54</v>
      </c>
      <c r="H242" s="54">
        <f t="shared" si="10"/>
        <v>180.96</v>
      </c>
      <c r="I242" s="55">
        <v>0</v>
      </c>
      <c r="J242" s="75">
        <f t="shared" si="11"/>
        <v>180.96</v>
      </c>
      <c r="K242" s="57">
        <f t="shared" si="12"/>
        <v>168.96</v>
      </c>
    </row>
    <row r="243" spans="1:11" ht="15" x14ac:dyDescent="0.2">
      <c r="A243" s="50" t="s">
        <v>39</v>
      </c>
      <c r="B243" s="51" t="s">
        <v>314</v>
      </c>
      <c r="C243" s="51"/>
      <c r="D243" s="58" t="s">
        <v>456</v>
      </c>
      <c r="E243" s="53">
        <v>24</v>
      </c>
      <c r="F243" s="9">
        <v>6.88</v>
      </c>
      <c r="G243" s="10">
        <v>7.54</v>
      </c>
      <c r="H243" s="54">
        <f t="shared" si="10"/>
        <v>180.96</v>
      </c>
      <c r="I243" s="55">
        <v>0</v>
      </c>
      <c r="J243" s="75">
        <f t="shared" si="11"/>
        <v>180.96</v>
      </c>
      <c r="K243" s="57">
        <f t="shared" si="12"/>
        <v>165.12</v>
      </c>
    </row>
    <row r="244" spans="1:11" ht="15" x14ac:dyDescent="0.2">
      <c r="A244" s="50" t="s">
        <v>39</v>
      </c>
      <c r="B244" s="51" t="s">
        <v>312</v>
      </c>
      <c r="C244" s="51" t="s">
        <v>372</v>
      </c>
      <c r="D244" s="58" t="s">
        <v>454</v>
      </c>
      <c r="E244" s="53">
        <v>54</v>
      </c>
      <c r="F244" s="9">
        <v>6.88</v>
      </c>
      <c r="G244" s="10">
        <v>7.54</v>
      </c>
      <c r="H244" s="54">
        <f t="shared" si="10"/>
        <v>407.16</v>
      </c>
      <c r="I244" s="55">
        <v>0</v>
      </c>
      <c r="J244" s="75">
        <f t="shared" si="11"/>
        <v>407.16</v>
      </c>
      <c r="K244" s="57">
        <f t="shared" si="12"/>
        <v>371.52</v>
      </c>
    </row>
    <row r="245" spans="1:11" ht="15" x14ac:dyDescent="0.2">
      <c r="A245" s="50" t="s">
        <v>39</v>
      </c>
      <c r="B245" s="51" t="s">
        <v>335</v>
      </c>
      <c r="C245" s="51"/>
      <c r="D245" s="58" t="s">
        <v>477</v>
      </c>
      <c r="E245" s="53">
        <v>18</v>
      </c>
      <c r="F245" s="9">
        <v>7.04</v>
      </c>
      <c r="G245" s="10">
        <v>7.54</v>
      </c>
      <c r="H245" s="54">
        <f t="shared" si="10"/>
        <v>135.72</v>
      </c>
      <c r="I245" s="55">
        <v>0</v>
      </c>
      <c r="J245" s="75">
        <f t="shared" si="11"/>
        <v>135.72</v>
      </c>
      <c r="K245" s="57">
        <f t="shared" si="12"/>
        <v>126.72</v>
      </c>
    </row>
    <row r="246" spans="1:11" ht="15" x14ac:dyDescent="0.2">
      <c r="A246" s="50" t="s">
        <v>39</v>
      </c>
      <c r="B246" s="51" t="s">
        <v>313</v>
      </c>
      <c r="C246" s="51"/>
      <c r="D246" s="58" t="s">
        <v>455</v>
      </c>
      <c r="E246" s="53">
        <v>12</v>
      </c>
      <c r="F246" s="9">
        <v>7.04</v>
      </c>
      <c r="G246" s="10">
        <v>7.54</v>
      </c>
      <c r="H246" s="54">
        <f t="shared" si="10"/>
        <v>90.48</v>
      </c>
      <c r="I246" s="55">
        <v>0</v>
      </c>
      <c r="J246" s="75">
        <f t="shared" si="11"/>
        <v>90.48</v>
      </c>
      <c r="K246" s="57">
        <f t="shared" si="12"/>
        <v>84.48</v>
      </c>
    </row>
    <row r="247" spans="1:11" ht="15" x14ac:dyDescent="0.2">
      <c r="A247" s="50" t="s">
        <v>39</v>
      </c>
      <c r="B247" s="51" t="s">
        <v>314</v>
      </c>
      <c r="C247" s="51"/>
      <c r="D247" s="58" t="s">
        <v>456</v>
      </c>
      <c r="E247" s="53">
        <v>12</v>
      </c>
      <c r="F247" s="9">
        <v>6.88</v>
      </c>
      <c r="G247" s="10">
        <v>7.54</v>
      </c>
      <c r="H247" s="54">
        <f t="shared" si="10"/>
        <v>90.48</v>
      </c>
      <c r="I247" s="55">
        <v>0</v>
      </c>
      <c r="J247" s="75">
        <f t="shared" si="11"/>
        <v>90.48</v>
      </c>
      <c r="K247" s="57">
        <f t="shared" si="12"/>
        <v>82.56</v>
      </c>
    </row>
    <row r="248" spans="1:11" ht="15" x14ac:dyDescent="0.2">
      <c r="A248" s="50" t="s">
        <v>39</v>
      </c>
      <c r="B248" s="51" t="s">
        <v>316</v>
      </c>
      <c r="C248" s="51"/>
      <c r="D248" s="58" t="s">
        <v>458</v>
      </c>
      <c r="E248" s="53">
        <v>24</v>
      </c>
      <c r="F248" s="9">
        <v>15.92</v>
      </c>
      <c r="G248" s="10">
        <v>16.329999999999998</v>
      </c>
      <c r="H248" s="54">
        <f t="shared" si="10"/>
        <v>391.91999999999996</v>
      </c>
      <c r="I248" s="55">
        <v>0</v>
      </c>
      <c r="J248" s="75">
        <f t="shared" si="11"/>
        <v>391.91999999999996</v>
      </c>
      <c r="K248" s="57">
        <f t="shared" si="12"/>
        <v>382.08</v>
      </c>
    </row>
    <row r="249" spans="1:11" ht="15" x14ac:dyDescent="0.2">
      <c r="A249" s="50" t="s">
        <v>39</v>
      </c>
      <c r="B249" s="51" t="s">
        <v>322</v>
      </c>
      <c r="C249" s="51"/>
      <c r="D249" s="58" t="s">
        <v>464</v>
      </c>
      <c r="E249" s="53">
        <v>12</v>
      </c>
      <c r="F249" s="9">
        <v>15.92</v>
      </c>
      <c r="G249" s="10">
        <v>16.329999999999998</v>
      </c>
      <c r="H249" s="54">
        <f t="shared" si="10"/>
        <v>195.95999999999998</v>
      </c>
      <c r="I249" s="55">
        <v>0</v>
      </c>
      <c r="J249" s="75">
        <f t="shared" si="11"/>
        <v>195.95999999999998</v>
      </c>
      <c r="K249" s="57">
        <f t="shared" si="12"/>
        <v>191.04</v>
      </c>
    </row>
    <row r="250" spans="1:11" ht="15" x14ac:dyDescent="0.2">
      <c r="A250" s="50" t="s">
        <v>39</v>
      </c>
      <c r="B250" s="51" t="s">
        <v>323</v>
      </c>
      <c r="C250" s="51"/>
      <c r="D250" s="58" t="s">
        <v>465</v>
      </c>
      <c r="E250" s="53">
        <v>12</v>
      </c>
      <c r="F250" s="9">
        <v>15.92</v>
      </c>
      <c r="G250" s="10">
        <v>16.329999999999998</v>
      </c>
      <c r="H250" s="54">
        <f t="shared" si="10"/>
        <v>195.95999999999998</v>
      </c>
      <c r="I250" s="55">
        <v>0</v>
      </c>
      <c r="J250" s="75">
        <f t="shared" si="11"/>
        <v>195.95999999999998</v>
      </c>
      <c r="K250" s="57">
        <f t="shared" si="12"/>
        <v>191.04</v>
      </c>
    </row>
    <row r="251" spans="1:11" ht="15" x14ac:dyDescent="0.2">
      <c r="A251" s="50" t="s">
        <v>39</v>
      </c>
      <c r="B251" s="51" t="s">
        <v>332</v>
      </c>
      <c r="C251" s="51"/>
      <c r="D251" s="58" t="s">
        <v>474</v>
      </c>
      <c r="E251" s="53">
        <v>12</v>
      </c>
      <c r="F251" s="9">
        <v>14.58</v>
      </c>
      <c r="G251" s="10">
        <v>15.92</v>
      </c>
      <c r="H251" s="54">
        <f t="shared" si="10"/>
        <v>191.04</v>
      </c>
      <c r="I251" s="55">
        <v>0</v>
      </c>
      <c r="J251" s="75">
        <f t="shared" si="11"/>
        <v>191.04</v>
      </c>
      <c r="K251" s="57">
        <f t="shared" si="12"/>
        <v>174.96</v>
      </c>
    </row>
    <row r="252" spans="1:11" ht="15" x14ac:dyDescent="0.2">
      <c r="A252" s="50" t="s">
        <v>39</v>
      </c>
      <c r="B252" s="51" t="s">
        <v>335</v>
      </c>
      <c r="C252" s="51" t="s">
        <v>373</v>
      </c>
      <c r="D252" s="58" t="s">
        <v>477</v>
      </c>
      <c r="E252" s="53">
        <v>456</v>
      </c>
      <c r="F252" s="9">
        <v>7.04</v>
      </c>
      <c r="G252" s="10">
        <v>7.54</v>
      </c>
      <c r="H252" s="54">
        <f t="shared" si="10"/>
        <v>3438.2400000000002</v>
      </c>
      <c r="I252" s="55">
        <v>0</v>
      </c>
      <c r="J252" s="75">
        <f t="shared" si="11"/>
        <v>3438.2400000000002</v>
      </c>
      <c r="K252" s="57">
        <f t="shared" si="12"/>
        <v>3210.2400000000002</v>
      </c>
    </row>
    <row r="253" spans="1:11" ht="15" x14ac:dyDescent="0.2">
      <c r="A253" s="50" t="s">
        <v>39</v>
      </c>
      <c r="B253" s="51" t="s">
        <v>313</v>
      </c>
      <c r="C253" s="51"/>
      <c r="D253" s="58" t="s">
        <v>455</v>
      </c>
      <c r="E253" s="53">
        <v>24</v>
      </c>
      <c r="F253" s="9">
        <v>7.04</v>
      </c>
      <c r="G253" s="10">
        <v>7.54</v>
      </c>
      <c r="H253" s="54">
        <f t="shared" si="10"/>
        <v>180.96</v>
      </c>
      <c r="I253" s="55">
        <v>0</v>
      </c>
      <c r="J253" s="75">
        <f t="shared" si="11"/>
        <v>180.96</v>
      </c>
      <c r="K253" s="57">
        <f t="shared" si="12"/>
        <v>168.96</v>
      </c>
    </row>
    <row r="254" spans="1:11" ht="15" x14ac:dyDescent="0.2">
      <c r="A254" s="50" t="s">
        <v>39</v>
      </c>
      <c r="B254" s="51" t="s">
        <v>314</v>
      </c>
      <c r="C254" s="51"/>
      <c r="D254" s="58" t="s">
        <v>456</v>
      </c>
      <c r="E254" s="53">
        <v>24</v>
      </c>
      <c r="F254" s="9">
        <v>6.88</v>
      </c>
      <c r="G254" s="10">
        <v>7.54</v>
      </c>
      <c r="H254" s="54">
        <f t="shared" si="10"/>
        <v>180.96</v>
      </c>
      <c r="I254" s="55">
        <v>0</v>
      </c>
      <c r="J254" s="75">
        <f t="shared" si="11"/>
        <v>180.96</v>
      </c>
      <c r="K254" s="57">
        <f t="shared" si="12"/>
        <v>165.12</v>
      </c>
    </row>
    <row r="255" spans="1:11" ht="15" x14ac:dyDescent="0.2">
      <c r="A255" s="50" t="s">
        <v>39</v>
      </c>
      <c r="B255" s="51" t="s">
        <v>319</v>
      </c>
      <c r="C255" s="51" t="s">
        <v>374</v>
      </c>
      <c r="D255" s="58" t="s">
        <v>461</v>
      </c>
      <c r="E255" s="53">
        <v>48</v>
      </c>
      <c r="F255" s="9">
        <v>11.58</v>
      </c>
      <c r="G255" s="10">
        <v>12</v>
      </c>
      <c r="H255" s="54">
        <f t="shared" si="10"/>
        <v>576</v>
      </c>
      <c r="I255" s="55">
        <v>0</v>
      </c>
      <c r="J255" s="75">
        <f t="shared" si="11"/>
        <v>576</v>
      </c>
      <c r="K255" s="57">
        <f t="shared" si="12"/>
        <v>555.84</v>
      </c>
    </row>
    <row r="256" spans="1:11" ht="15" x14ac:dyDescent="0.2">
      <c r="A256" s="50" t="s">
        <v>39</v>
      </c>
      <c r="B256" s="51" t="s">
        <v>320</v>
      </c>
      <c r="C256" s="51"/>
      <c r="D256" s="58" t="s">
        <v>462</v>
      </c>
      <c r="E256" s="53">
        <v>36</v>
      </c>
      <c r="F256" s="9">
        <v>11.58</v>
      </c>
      <c r="G256" s="10">
        <v>12</v>
      </c>
      <c r="H256" s="54">
        <f t="shared" si="10"/>
        <v>432</v>
      </c>
      <c r="I256" s="55">
        <v>0</v>
      </c>
      <c r="J256" s="75">
        <f t="shared" si="11"/>
        <v>432</v>
      </c>
      <c r="K256" s="57">
        <f t="shared" si="12"/>
        <v>416.88</v>
      </c>
    </row>
    <row r="257" spans="1:11" ht="15" x14ac:dyDescent="0.2">
      <c r="A257" s="50" t="s">
        <v>39</v>
      </c>
      <c r="B257" s="51" t="s">
        <v>321</v>
      </c>
      <c r="C257" s="51"/>
      <c r="D257" s="58" t="s">
        <v>463</v>
      </c>
      <c r="E257" s="53">
        <v>36</v>
      </c>
      <c r="F257" s="9">
        <v>11.5</v>
      </c>
      <c r="G257" s="10">
        <v>12</v>
      </c>
      <c r="H257" s="54">
        <f t="shared" si="10"/>
        <v>432</v>
      </c>
      <c r="I257" s="55">
        <v>0</v>
      </c>
      <c r="J257" s="75">
        <f t="shared" si="11"/>
        <v>432</v>
      </c>
      <c r="K257" s="57">
        <f t="shared" si="12"/>
        <v>414</v>
      </c>
    </row>
    <row r="258" spans="1:11" ht="15" x14ac:dyDescent="0.2">
      <c r="A258" s="50" t="s">
        <v>39</v>
      </c>
      <c r="B258" s="51" t="s">
        <v>316</v>
      </c>
      <c r="C258" s="51"/>
      <c r="D258" s="58" t="s">
        <v>458</v>
      </c>
      <c r="E258" s="53">
        <v>48</v>
      </c>
      <c r="F258" s="9">
        <v>15.92</v>
      </c>
      <c r="G258" s="10">
        <v>16.329999999999998</v>
      </c>
      <c r="H258" s="54">
        <f t="shared" si="10"/>
        <v>783.83999999999992</v>
      </c>
      <c r="I258" s="55">
        <v>0</v>
      </c>
      <c r="J258" s="75">
        <f t="shared" si="11"/>
        <v>783.83999999999992</v>
      </c>
      <c r="K258" s="57">
        <f t="shared" si="12"/>
        <v>764.16</v>
      </c>
    </row>
    <row r="259" spans="1:11" ht="15" x14ac:dyDescent="0.2">
      <c r="A259" s="50" t="s">
        <v>39</v>
      </c>
      <c r="B259" s="51" t="s">
        <v>322</v>
      </c>
      <c r="C259" s="51"/>
      <c r="D259" s="58" t="s">
        <v>464</v>
      </c>
      <c r="E259" s="53">
        <v>36</v>
      </c>
      <c r="F259" s="9">
        <v>15.92</v>
      </c>
      <c r="G259" s="10">
        <v>16.329999999999998</v>
      </c>
      <c r="H259" s="54">
        <f t="shared" si="10"/>
        <v>587.87999999999988</v>
      </c>
      <c r="I259" s="55">
        <v>0</v>
      </c>
      <c r="J259" s="75">
        <f t="shared" si="11"/>
        <v>587.87999999999988</v>
      </c>
      <c r="K259" s="57">
        <f t="shared" si="12"/>
        <v>573.12</v>
      </c>
    </row>
    <row r="260" spans="1:11" ht="15" x14ac:dyDescent="0.2">
      <c r="A260" s="50" t="s">
        <v>39</v>
      </c>
      <c r="B260" s="51" t="s">
        <v>323</v>
      </c>
      <c r="C260" s="51"/>
      <c r="D260" s="58" t="s">
        <v>465</v>
      </c>
      <c r="E260" s="53">
        <v>36</v>
      </c>
      <c r="F260" s="9">
        <v>15.92</v>
      </c>
      <c r="G260" s="10">
        <v>16.329999999999998</v>
      </c>
      <c r="H260" s="54">
        <f t="shared" si="10"/>
        <v>587.87999999999988</v>
      </c>
      <c r="I260" s="55">
        <v>0</v>
      </c>
      <c r="J260" s="75">
        <f t="shared" si="11"/>
        <v>587.87999999999988</v>
      </c>
      <c r="K260" s="57">
        <f t="shared" si="12"/>
        <v>573.12</v>
      </c>
    </row>
    <row r="261" spans="1:11" ht="15" x14ac:dyDescent="0.2">
      <c r="A261" s="50" t="s">
        <v>39</v>
      </c>
      <c r="B261" s="51" t="s">
        <v>317</v>
      </c>
      <c r="C261" s="51"/>
      <c r="D261" s="58" t="s">
        <v>459</v>
      </c>
      <c r="E261" s="53">
        <v>12</v>
      </c>
      <c r="F261" s="9">
        <v>59.17</v>
      </c>
      <c r="G261" s="10">
        <v>60</v>
      </c>
      <c r="H261" s="54">
        <f t="shared" si="10"/>
        <v>720</v>
      </c>
      <c r="I261" s="55">
        <v>0</v>
      </c>
      <c r="J261" s="75">
        <f t="shared" si="11"/>
        <v>720</v>
      </c>
      <c r="K261" s="57">
        <f t="shared" si="12"/>
        <v>710.04</v>
      </c>
    </row>
    <row r="262" spans="1:11" ht="15" x14ac:dyDescent="0.2">
      <c r="A262" s="50" t="s">
        <v>39</v>
      </c>
      <c r="B262" s="51" t="s">
        <v>318</v>
      </c>
      <c r="C262" s="51"/>
      <c r="D262" s="58" t="s">
        <v>460</v>
      </c>
      <c r="E262" s="53">
        <v>12</v>
      </c>
      <c r="F262" s="9">
        <v>59.17</v>
      </c>
      <c r="G262" s="10">
        <v>60</v>
      </c>
      <c r="H262" s="54">
        <f t="shared" ref="H262:H325" si="13">E262*G262</f>
        <v>720</v>
      </c>
      <c r="I262" s="55">
        <v>0</v>
      </c>
      <c r="J262" s="75">
        <f t="shared" ref="J262:J325" si="14">(G262*E262)-I262</f>
        <v>720</v>
      </c>
      <c r="K262" s="57">
        <f t="shared" ref="K262:K325" si="15">E262*F262</f>
        <v>710.04</v>
      </c>
    </row>
    <row r="263" spans="1:11" ht="15" x14ac:dyDescent="0.2">
      <c r="A263" s="50" t="s">
        <v>39</v>
      </c>
      <c r="B263" s="51" t="s">
        <v>331</v>
      </c>
      <c r="C263" s="51"/>
      <c r="D263" s="58" t="s">
        <v>473</v>
      </c>
      <c r="E263" s="53">
        <v>24</v>
      </c>
      <c r="F263" s="9">
        <v>8.7100000000000009</v>
      </c>
      <c r="G263" s="10">
        <v>9.3800000000000008</v>
      </c>
      <c r="H263" s="54">
        <f t="shared" si="13"/>
        <v>225.12</v>
      </c>
      <c r="I263" s="55">
        <v>0</v>
      </c>
      <c r="J263" s="75">
        <f t="shared" si="14"/>
        <v>225.12</v>
      </c>
      <c r="K263" s="57">
        <f t="shared" si="15"/>
        <v>209.04000000000002</v>
      </c>
    </row>
    <row r="264" spans="1:11" ht="15" x14ac:dyDescent="0.2">
      <c r="A264" s="50" t="s">
        <v>39</v>
      </c>
      <c r="B264" s="51" t="s">
        <v>324</v>
      </c>
      <c r="C264" s="51"/>
      <c r="D264" s="58" t="s">
        <v>466</v>
      </c>
      <c r="E264" s="53">
        <v>30</v>
      </c>
      <c r="F264" s="9">
        <v>6.67</v>
      </c>
      <c r="G264" s="10">
        <v>7.25</v>
      </c>
      <c r="H264" s="54">
        <f t="shared" si="13"/>
        <v>217.5</v>
      </c>
      <c r="I264" s="55">
        <v>1.22</v>
      </c>
      <c r="J264" s="75">
        <f t="shared" si="14"/>
        <v>216.28</v>
      </c>
      <c r="K264" s="57">
        <f t="shared" si="15"/>
        <v>200.1</v>
      </c>
    </row>
    <row r="265" spans="1:11" ht="15" x14ac:dyDescent="0.2">
      <c r="A265" s="50" t="s">
        <v>39</v>
      </c>
      <c r="B265" s="51" t="s">
        <v>317</v>
      </c>
      <c r="C265" s="51" t="s">
        <v>375</v>
      </c>
      <c r="D265" s="58" t="s">
        <v>459</v>
      </c>
      <c r="E265" s="53">
        <v>5</v>
      </c>
      <c r="F265" s="9">
        <v>59.17</v>
      </c>
      <c r="G265" s="10">
        <v>60</v>
      </c>
      <c r="H265" s="54">
        <f t="shared" si="13"/>
        <v>300</v>
      </c>
      <c r="I265" s="55">
        <v>0</v>
      </c>
      <c r="J265" s="75">
        <f t="shared" si="14"/>
        <v>300</v>
      </c>
      <c r="K265" s="57">
        <f t="shared" si="15"/>
        <v>295.85000000000002</v>
      </c>
    </row>
    <row r="266" spans="1:11" ht="15" x14ac:dyDescent="0.2">
      <c r="A266" s="50" t="s">
        <v>39</v>
      </c>
      <c r="B266" s="51" t="s">
        <v>316</v>
      </c>
      <c r="C266" s="51"/>
      <c r="D266" s="58" t="s">
        <v>458</v>
      </c>
      <c r="E266" s="53">
        <v>24</v>
      </c>
      <c r="F266" s="9">
        <v>15.92</v>
      </c>
      <c r="G266" s="10">
        <v>16.329999999999998</v>
      </c>
      <c r="H266" s="54">
        <f t="shared" si="13"/>
        <v>391.91999999999996</v>
      </c>
      <c r="I266" s="55">
        <v>0</v>
      </c>
      <c r="J266" s="75">
        <f t="shared" si="14"/>
        <v>391.91999999999996</v>
      </c>
      <c r="K266" s="57">
        <f t="shared" si="15"/>
        <v>382.08</v>
      </c>
    </row>
    <row r="267" spans="1:11" ht="15" x14ac:dyDescent="0.2">
      <c r="A267" s="50" t="s">
        <v>39</v>
      </c>
      <c r="B267" s="51" t="s">
        <v>317</v>
      </c>
      <c r="C267" s="51" t="s">
        <v>376</v>
      </c>
      <c r="D267" s="58" t="s">
        <v>459</v>
      </c>
      <c r="E267" s="53">
        <v>12</v>
      </c>
      <c r="F267" s="9">
        <v>59.17</v>
      </c>
      <c r="G267" s="10">
        <v>60</v>
      </c>
      <c r="H267" s="54">
        <f t="shared" si="13"/>
        <v>720</v>
      </c>
      <c r="I267" s="55">
        <v>0</v>
      </c>
      <c r="J267" s="75">
        <f t="shared" si="14"/>
        <v>720</v>
      </c>
      <c r="K267" s="57">
        <f t="shared" si="15"/>
        <v>710.04</v>
      </c>
    </row>
    <row r="268" spans="1:11" ht="15" x14ac:dyDescent="0.2">
      <c r="A268" s="50" t="s">
        <v>39</v>
      </c>
      <c r="B268" s="51" t="s">
        <v>316</v>
      </c>
      <c r="C268" s="51"/>
      <c r="D268" s="58" t="s">
        <v>458</v>
      </c>
      <c r="E268" s="53">
        <v>24</v>
      </c>
      <c r="F268" s="9">
        <v>15.92</v>
      </c>
      <c r="G268" s="10">
        <v>16.329999999999998</v>
      </c>
      <c r="H268" s="54">
        <f t="shared" si="13"/>
        <v>391.91999999999996</v>
      </c>
      <c r="I268" s="55">
        <v>0</v>
      </c>
      <c r="J268" s="75">
        <f t="shared" si="14"/>
        <v>391.91999999999996</v>
      </c>
      <c r="K268" s="57">
        <f t="shared" si="15"/>
        <v>382.08</v>
      </c>
    </row>
    <row r="269" spans="1:11" ht="15" x14ac:dyDescent="0.2">
      <c r="A269" s="50" t="s">
        <v>39</v>
      </c>
      <c r="B269" s="51" t="s">
        <v>316</v>
      </c>
      <c r="C269" s="51" t="s">
        <v>377</v>
      </c>
      <c r="D269" s="58" t="s">
        <v>458</v>
      </c>
      <c r="E269" s="53">
        <v>24</v>
      </c>
      <c r="F269" s="9">
        <v>15.92</v>
      </c>
      <c r="G269" s="10">
        <v>16.329999999999998</v>
      </c>
      <c r="H269" s="54">
        <f t="shared" si="13"/>
        <v>391.91999999999996</v>
      </c>
      <c r="I269" s="55">
        <v>0</v>
      </c>
      <c r="J269" s="75">
        <f t="shared" si="14"/>
        <v>391.91999999999996</v>
      </c>
      <c r="K269" s="57">
        <f t="shared" si="15"/>
        <v>382.08</v>
      </c>
    </row>
    <row r="270" spans="1:11" ht="15" x14ac:dyDescent="0.2">
      <c r="A270" s="50" t="s">
        <v>39</v>
      </c>
      <c r="B270" s="51" t="s">
        <v>335</v>
      </c>
      <c r="C270" s="51" t="s">
        <v>378</v>
      </c>
      <c r="D270" s="58" t="s">
        <v>477</v>
      </c>
      <c r="E270" s="53">
        <v>24</v>
      </c>
      <c r="F270" s="9">
        <v>7.04</v>
      </c>
      <c r="G270" s="10">
        <v>7.54</v>
      </c>
      <c r="H270" s="54">
        <f t="shared" si="13"/>
        <v>180.96</v>
      </c>
      <c r="I270" s="55">
        <v>0</v>
      </c>
      <c r="J270" s="75">
        <f t="shared" si="14"/>
        <v>180.96</v>
      </c>
      <c r="K270" s="57">
        <f t="shared" si="15"/>
        <v>168.96</v>
      </c>
    </row>
    <row r="271" spans="1:11" ht="15" x14ac:dyDescent="0.2">
      <c r="A271" s="50" t="s">
        <v>39</v>
      </c>
      <c r="B271" s="51" t="s">
        <v>313</v>
      </c>
      <c r="C271" s="51"/>
      <c r="D271" s="58" t="s">
        <v>455</v>
      </c>
      <c r="E271" s="53">
        <v>12</v>
      </c>
      <c r="F271" s="9">
        <v>7.04</v>
      </c>
      <c r="G271" s="10">
        <v>7.54</v>
      </c>
      <c r="H271" s="54">
        <f t="shared" si="13"/>
        <v>90.48</v>
      </c>
      <c r="I271" s="55">
        <v>0</v>
      </c>
      <c r="J271" s="75">
        <f t="shared" si="14"/>
        <v>90.48</v>
      </c>
      <c r="K271" s="57">
        <f t="shared" si="15"/>
        <v>84.48</v>
      </c>
    </row>
    <row r="272" spans="1:11" ht="15" x14ac:dyDescent="0.2">
      <c r="A272" s="50" t="s">
        <v>39</v>
      </c>
      <c r="B272" s="51" t="s">
        <v>314</v>
      </c>
      <c r="C272" s="51"/>
      <c r="D272" s="58" t="s">
        <v>456</v>
      </c>
      <c r="E272" s="53">
        <v>12</v>
      </c>
      <c r="F272" s="9">
        <v>6.88</v>
      </c>
      <c r="G272" s="10">
        <v>7.54</v>
      </c>
      <c r="H272" s="54">
        <f t="shared" si="13"/>
        <v>90.48</v>
      </c>
      <c r="I272" s="55">
        <v>0</v>
      </c>
      <c r="J272" s="75">
        <f t="shared" si="14"/>
        <v>90.48</v>
      </c>
      <c r="K272" s="57">
        <f t="shared" si="15"/>
        <v>82.56</v>
      </c>
    </row>
    <row r="273" spans="1:14" ht="15" x14ac:dyDescent="0.2">
      <c r="A273" s="50" t="s">
        <v>39</v>
      </c>
      <c r="B273" s="51" t="s">
        <v>317</v>
      </c>
      <c r="C273" s="51"/>
      <c r="D273" s="58" t="s">
        <v>459</v>
      </c>
      <c r="E273" s="53">
        <v>3</v>
      </c>
      <c r="F273" s="9">
        <v>59.17</v>
      </c>
      <c r="G273" s="10">
        <v>60</v>
      </c>
      <c r="H273" s="54">
        <f t="shared" si="13"/>
        <v>180</v>
      </c>
      <c r="I273" s="55">
        <v>0</v>
      </c>
      <c r="J273" s="75">
        <f t="shared" si="14"/>
        <v>180</v>
      </c>
      <c r="K273" s="57">
        <f t="shared" si="15"/>
        <v>177.51</v>
      </c>
    </row>
    <row r="274" spans="1:14" ht="15" x14ac:dyDescent="0.2">
      <c r="A274" s="50" t="s">
        <v>39</v>
      </c>
      <c r="B274" s="51" t="s">
        <v>328</v>
      </c>
      <c r="C274" s="51"/>
      <c r="D274" s="58" t="s">
        <v>470</v>
      </c>
      <c r="E274" s="53">
        <v>3</v>
      </c>
      <c r="F274" s="9">
        <v>59.17</v>
      </c>
      <c r="G274" s="10">
        <v>60</v>
      </c>
      <c r="H274" s="54">
        <f t="shared" si="13"/>
        <v>180</v>
      </c>
      <c r="I274" s="55">
        <v>0</v>
      </c>
      <c r="J274" s="75">
        <f t="shared" si="14"/>
        <v>180</v>
      </c>
      <c r="K274" s="57">
        <f t="shared" si="15"/>
        <v>177.51</v>
      </c>
      <c r="N274" s="59"/>
    </row>
    <row r="275" spans="1:14" ht="15" x14ac:dyDescent="0.2">
      <c r="A275" s="50" t="s">
        <v>39</v>
      </c>
      <c r="B275" s="51" t="s">
        <v>318</v>
      </c>
      <c r="C275" s="51"/>
      <c r="D275" s="58" t="s">
        <v>460</v>
      </c>
      <c r="E275" s="53">
        <v>6</v>
      </c>
      <c r="F275" s="9">
        <v>59.17</v>
      </c>
      <c r="G275" s="10">
        <v>60</v>
      </c>
      <c r="H275" s="54">
        <f t="shared" si="13"/>
        <v>360</v>
      </c>
      <c r="I275" s="55">
        <v>0</v>
      </c>
      <c r="J275" s="75">
        <f t="shared" si="14"/>
        <v>360</v>
      </c>
      <c r="K275" s="57">
        <f t="shared" si="15"/>
        <v>355.02</v>
      </c>
    </row>
    <row r="276" spans="1:14" ht="15" x14ac:dyDescent="0.2">
      <c r="A276" s="50" t="s">
        <v>39</v>
      </c>
      <c r="B276" s="51" t="s">
        <v>322</v>
      </c>
      <c r="C276" s="51"/>
      <c r="D276" s="58" t="s">
        <v>464</v>
      </c>
      <c r="E276" s="53">
        <v>12</v>
      </c>
      <c r="F276" s="9">
        <v>15.92</v>
      </c>
      <c r="G276" s="10">
        <v>16.329999999999998</v>
      </c>
      <c r="H276" s="54">
        <f t="shared" si="13"/>
        <v>195.95999999999998</v>
      </c>
      <c r="I276" s="55">
        <v>0</v>
      </c>
      <c r="J276" s="75">
        <f t="shared" si="14"/>
        <v>195.95999999999998</v>
      </c>
      <c r="K276" s="57">
        <f t="shared" si="15"/>
        <v>191.04</v>
      </c>
    </row>
    <row r="277" spans="1:14" ht="15" x14ac:dyDescent="0.2">
      <c r="A277" s="50" t="s">
        <v>39</v>
      </c>
      <c r="B277" s="51" t="s">
        <v>323</v>
      </c>
      <c r="C277" s="51"/>
      <c r="D277" s="58" t="s">
        <v>465</v>
      </c>
      <c r="E277" s="53">
        <v>12</v>
      </c>
      <c r="F277" s="9">
        <v>15.92</v>
      </c>
      <c r="G277" s="10">
        <v>16.329999999999998</v>
      </c>
      <c r="H277" s="54">
        <f t="shared" si="13"/>
        <v>195.95999999999998</v>
      </c>
      <c r="I277" s="55">
        <v>0</v>
      </c>
      <c r="J277" s="75">
        <f t="shared" si="14"/>
        <v>195.95999999999998</v>
      </c>
      <c r="K277" s="57">
        <f t="shared" si="15"/>
        <v>191.04</v>
      </c>
    </row>
    <row r="278" spans="1:14" ht="15" x14ac:dyDescent="0.2">
      <c r="A278" s="50" t="s">
        <v>39</v>
      </c>
      <c r="B278" s="51" t="s">
        <v>316</v>
      </c>
      <c r="C278" s="51"/>
      <c r="D278" s="58" t="s">
        <v>458</v>
      </c>
      <c r="E278" s="53">
        <v>24</v>
      </c>
      <c r="F278" s="9">
        <v>15.92</v>
      </c>
      <c r="G278" s="10">
        <v>16.329999999999998</v>
      </c>
      <c r="H278" s="54">
        <f t="shared" si="13"/>
        <v>391.91999999999996</v>
      </c>
      <c r="I278" s="55">
        <v>0</v>
      </c>
      <c r="J278" s="75">
        <f t="shared" si="14"/>
        <v>391.91999999999996</v>
      </c>
      <c r="K278" s="57">
        <f t="shared" si="15"/>
        <v>382.08</v>
      </c>
    </row>
    <row r="279" spans="1:14" ht="15" x14ac:dyDescent="0.2">
      <c r="A279" s="50" t="s">
        <v>39</v>
      </c>
      <c r="B279" s="51" t="s">
        <v>316</v>
      </c>
      <c r="C279" s="51" t="s">
        <v>379</v>
      </c>
      <c r="D279" s="58" t="s">
        <v>458</v>
      </c>
      <c r="E279" s="53">
        <v>12</v>
      </c>
      <c r="F279" s="9">
        <v>15.92</v>
      </c>
      <c r="G279" s="10">
        <v>16.329999999999998</v>
      </c>
      <c r="H279" s="54">
        <f t="shared" si="13"/>
        <v>195.95999999999998</v>
      </c>
      <c r="I279" s="55">
        <v>0</v>
      </c>
      <c r="J279" s="75">
        <f t="shared" si="14"/>
        <v>195.95999999999998</v>
      </c>
      <c r="K279" s="57">
        <f t="shared" si="15"/>
        <v>191.04</v>
      </c>
    </row>
    <row r="280" spans="1:14" ht="15" x14ac:dyDescent="0.2">
      <c r="A280" s="50" t="s">
        <v>39</v>
      </c>
      <c r="B280" s="51" t="s">
        <v>322</v>
      </c>
      <c r="C280" s="51"/>
      <c r="D280" s="58" t="s">
        <v>464</v>
      </c>
      <c r="E280" s="53">
        <v>12</v>
      </c>
      <c r="F280" s="9">
        <v>15.92</v>
      </c>
      <c r="G280" s="10">
        <v>16.329999999999998</v>
      </c>
      <c r="H280" s="54">
        <f t="shared" si="13"/>
        <v>195.95999999999998</v>
      </c>
      <c r="I280" s="55">
        <v>0</v>
      </c>
      <c r="J280" s="75">
        <f t="shared" si="14"/>
        <v>195.95999999999998</v>
      </c>
      <c r="K280" s="57">
        <f t="shared" si="15"/>
        <v>191.04</v>
      </c>
    </row>
    <row r="281" spans="1:14" ht="15" x14ac:dyDescent="0.2">
      <c r="A281" s="50" t="s">
        <v>39</v>
      </c>
      <c r="B281" s="51" t="s">
        <v>323</v>
      </c>
      <c r="C281" s="51"/>
      <c r="D281" s="58" t="s">
        <v>465</v>
      </c>
      <c r="E281" s="53">
        <v>12</v>
      </c>
      <c r="F281" s="9">
        <v>15.92</v>
      </c>
      <c r="G281" s="10">
        <v>16.329999999999998</v>
      </c>
      <c r="H281" s="54">
        <f t="shared" si="13"/>
        <v>195.95999999999998</v>
      </c>
      <c r="I281" s="55">
        <v>0</v>
      </c>
      <c r="J281" s="75">
        <f t="shared" si="14"/>
        <v>195.95999999999998</v>
      </c>
      <c r="K281" s="57">
        <f t="shared" si="15"/>
        <v>191.04</v>
      </c>
    </row>
    <row r="282" spans="1:14" ht="15" x14ac:dyDescent="0.2">
      <c r="A282" s="50" t="s">
        <v>39</v>
      </c>
      <c r="B282" s="51" t="s">
        <v>319</v>
      </c>
      <c r="C282" s="51"/>
      <c r="D282" s="58" t="s">
        <v>461</v>
      </c>
      <c r="E282" s="53">
        <v>12</v>
      </c>
      <c r="F282" s="9">
        <v>11.58</v>
      </c>
      <c r="G282" s="10">
        <v>12</v>
      </c>
      <c r="H282" s="54">
        <f t="shared" si="13"/>
        <v>144</v>
      </c>
      <c r="I282" s="55">
        <v>0</v>
      </c>
      <c r="J282" s="75">
        <f t="shared" si="14"/>
        <v>144</v>
      </c>
      <c r="K282" s="57">
        <f t="shared" si="15"/>
        <v>138.96</v>
      </c>
    </row>
    <row r="283" spans="1:14" ht="15" x14ac:dyDescent="0.2">
      <c r="A283" s="50" t="s">
        <v>39</v>
      </c>
      <c r="B283" s="51" t="s">
        <v>329</v>
      </c>
      <c r="C283" s="51"/>
      <c r="D283" s="58" t="s">
        <v>471</v>
      </c>
      <c r="E283" s="53">
        <v>24</v>
      </c>
      <c r="F283" s="9">
        <v>21.33</v>
      </c>
      <c r="G283" s="10">
        <v>22.33</v>
      </c>
      <c r="H283" s="54">
        <f t="shared" si="13"/>
        <v>535.91999999999996</v>
      </c>
      <c r="I283" s="55">
        <v>0</v>
      </c>
      <c r="J283" s="75">
        <f t="shared" si="14"/>
        <v>535.91999999999996</v>
      </c>
      <c r="K283" s="57">
        <f t="shared" si="15"/>
        <v>511.91999999999996</v>
      </c>
    </row>
    <row r="284" spans="1:14" ht="15" x14ac:dyDescent="0.2">
      <c r="A284" s="50" t="s">
        <v>39</v>
      </c>
      <c r="B284" s="51" t="s">
        <v>317</v>
      </c>
      <c r="C284" s="51"/>
      <c r="D284" s="58" t="s">
        <v>459</v>
      </c>
      <c r="E284" s="53">
        <v>2</v>
      </c>
      <c r="F284" s="9">
        <v>59.17</v>
      </c>
      <c r="G284" s="10">
        <v>60</v>
      </c>
      <c r="H284" s="54">
        <f t="shared" si="13"/>
        <v>120</v>
      </c>
      <c r="I284" s="55">
        <v>0</v>
      </c>
      <c r="J284" s="75">
        <f t="shared" si="14"/>
        <v>120</v>
      </c>
      <c r="K284" s="57">
        <f t="shared" si="15"/>
        <v>118.34</v>
      </c>
    </row>
    <row r="285" spans="1:14" ht="15" x14ac:dyDescent="0.2">
      <c r="A285" s="50" t="s">
        <v>39</v>
      </c>
      <c r="B285" s="51" t="s">
        <v>330</v>
      </c>
      <c r="C285" s="51"/>
      <c r="D285" s="58" t="s">
        <v>472</v>
      </c>
      <c r="E285" s="53">
        <v>2</v>
      </c>
      <c r="F285" s="9">
        <v>58.67</v>
      </c>
      <c r="G285" s="10">
        <v>60</v>
      </c>
      <c r="H285" s="54">
        <f t="shared" si="13"/>
        <v>120</v>
      </c>
      <c r="I285" s="55">
        <v>0</v>
      </c>
      <c r="J285" s="75">
        <f t="shared" si="14"/>
        <v>120</v>
      </c>
      <c r="K285" s="57">
        <f t="shared" si="15"/>
        <v>117.34</v>
      </c>
    </row>
    <row r="286" spans="1:14" ht="15" x14ac:dyDescent="0.2">
      <c r="A286" s="50" t="s">
        <v>39</v>
      </c>
      <c r="B286" s="51" t="s">
        <v>317</v>
      </c>
      <c r="C286" s="51" t="s">
        <v>380</v>
      </c>
      <c r="D286" s="58" t="s">
        <v>459</v>
      </c>
      <c r="E286" s="53">
        <v>12</v>
      </c>
      <c r="F286" s="9">
        <v>59.17</v>
      </c>
      <c r="G286" s="10">
        <v>60</v>
      </c>
      <c r="H286" s="54">
        <f t="shared" si="13"/>
        <v>720</v>
      </c>
      <c r="I286" s="55">
        <v>0</v>
      </c>
      <c r="J286" s="75">
        <f t="shared" si="14"/>
        <v>720</v>
      </c>
      <c r="K286" s="57">
        <f t="shared" si="15"/>
        <v>710.04</v>
      </c>
    </row>
    <row r="287" spans="1:14" ht="15" x14ac:dyDescent="0.2">
      <c r="A287" s="50" t="s">
        <v>39</v>
      </c>
      <c r="B287" s="51" t="s">
        <v>320</v>
      </c>
      <c r="C287" s="51"/>
      <c r="D287" s="58" t="s">
        <v>462</v>
      </c>
      <c r="E287" s="53">
        <v>36</v>
      </c>
      <c r="F287" s="9">
        <v>11.58</v>
      </c>
      <c r="G287" s="10">
        <v>12</v>
      </c>
      <c r="H287" s="54">
        <f t="shared" si="13"/>
        <v>432</v>
      </c>
      <c r="I287" s="55">
        <v>0</v>
      </c>
      <c r="J287" s="75">
        <f t="shared" si="14"/>
        <v>432</v>
      </c>
      <c r="K287" s="57">
        <f t="shared" si="15"/>
        <v>416.88</v>
      </c>
      <c r="N287" s="59"/>
    </row>
    <row r="288" spans="1:14" ht="15" x14ac:dyDescent="0.2">
      <c r="A288" s="50" t="s">
        <v>39</v>
      </c>
      <c r="B288" s="51" t="s">
        <v>321</v>
      </c>
      <c r="C288" s="51"/>
      <c r="D288" s="58" t="s">
        <v>463</v>
      </c>
      <c r="E288" s="53">
        <v>24</v>
      </c>
      <c r="F288" s="9">
        <v>11.5</v>
      </c>
      <c r="G288" s="10">
        <v>12</v>
      </c>
      <c r="H288" s="54">
        <f t="shared" si="13"/>
        <v>288</v>
      </c>
      <c r="I288" s="55">
        <v>0</v>
      </c>
      <c r="J288" s="75">
        <f t="shared" si="14"/>
        <v>288</v>
      </c>
      <c r="K288" s="57">
        <f t="shared" si="15"/>
        <v>276</v>
      </c>
    </row>
    <row r="289" spans="1:21" ht="15" x14ac:dyDescent="0.2">
      <c r="A289" s="50" t="s">
        <v>39</v>
      </c>
      <c r="B289" s="51" t="s">
        <v>335</v>
      </c>
      <c r="C289" s="51" t="s">
        <v>381</v>
      </c>
      <c r="D289" s="58" t="s">
        <v>477</v>
      </c>
      <c r="E289" s="53">
        <v>3600</v>
      </c>
      <c r="F289" s="9">
        <v>7.04</v>
      </c>
      <c r="G289" s="10">
        <v>7.54</v>
      </c>
      <c r="H289" s="54">
        <f t="shared" si="13"/>
        <v>27144</v>
      </c>
      <c r="I289" s="55">
        <v>0</v>
      </c>
      <c r="J289" s="75">
        <f t="shared" si="14"/>
        <v>27144</v>
      </c>
      <c r="K289" s="57">
        <f t="shared" si="15"/>
        <v>25344</v>
      </c>
      <c r="L289" s="2">
        <v>65878.240000000005</v>
      </c>
      <c r="M289" s="2">
        <v>65888</v>
      </c>
      <c r="N289" s="22">
        <f>M289-L289</f>
        <v>9.7599999999947613</v>
      </c>
      <c r="T289" s="19">
        <f>Q289+R289+S289+Q288</f>
        <v>0</v>
      </c>
      <c r="U289" s="22">
        <f>N289-T289</f>
        <v>9.7599999999947613</v>
      </c>
    </row>
    <row r="290" spans="1:21" ht="15" x14ac:dyDescent="0.2">
      <c r="A290" s="50" t="s">
        <v>40</v>
      </c>
      <c r="B290" s="51" t="s">
        <v>335</v>
      </c>
      <c r="C290" s="51" t="s">
        <v>382</v>
      </c>
      <c r="D290" s="58" t="s">
        <v>477</v>
      </c>
      <c r="E290" s="53">
        <v>1320</v>
      </c>
      <c r="F290" s="9">
        <v>7.04</v>
      </c>
      <c r="G290" s="10">
        <v>7.54</v>
      </c>
      <c r="H290" s="54">
        <f t="shared" si="13"/>
        <v>9952.7999999999993</v>
      </c>
      <c r="I290" s="55">
        <v>0</v>
      </c>
      <c r="J290" s="75">
        <f t="shared" si="14"/>
        <v>9952.7999999999993</v>
      </c>
      <c r="K290" s="57">
        <f t="shared" si="15"/>
        <v>9292.7999999999993</v>
      </c>
    </row>
    <row r="291" spans="1:21" ht="15" x14ac:dyDescent="0.2">
      <c r="A291" s="50" t="s">
        <v>40</v>
      </c>
      <c r="B291" s="51" t="s">
        <v>335</v>
      </c>
      <c r="C291" s="51" t="s">
        <v>383</v>
      </c>
      <c r="D291" s="58" t="s">
        <v>477</v>
      </c>
      <c r="E291" s="53">
        <v>960</v>
      </c>
      <c r="F291" s="9">
        <v>7.04</v>
      </c>
      <c r="G291" s="10">
        <v>7.54</v>
      </c>
      <c r="H291" s="54">
        <f t="shared" si="13"/>
        <v>7238.4</v>
      </c>
      <c r="I291" s="55">
        <v>0</v>
      </c>
      <c r="J291" s="75">
        <f t="shared" si="14"/>
        <v>7238.4</v>
      </c>
      <c r="K291" s="57">
        <f t="shared" si="15"/>
        <v>6758.4</v>
      </c>
    </row>
    <row r="292" spans="1:21" ht="15" x14ac:dyDescent="0.2">
      <c r="A292" s="50" t="s">
        <v>40</v>
      </c>
      <c r="B292" s="51" t="s">
        <v>313</v>
      </c>
      <c r="C292" s="51"/>
      <c r="D292" s="58" t="s">
        <v>455</v>
      </c>
      <c r="E292" s="53">
        <v>360</v>
      </c>
      <c r="F292" s="9">
        <v>7.04</v>
      </c>
      <c r="G292" s="10">
        <v>7.54</v>
      </c>
      <c r="H292" s="54">
        <f t="shared" si="13"/>
        <v>2714.4</v>
      </c>
      <c r="I292" s="55">
        <v>0</v>
      </c>
      <c r="J292" s="75">
        <f t="shared" si="14"/>
        <v>2714.4</v>
      </c>
      <c r="K292" s="57">
        <f t="shared" si="15"/>
        <v>2534.4</v>
      </c>
    </row>
    <row r="293" spans="1:21" ht="15" x14ac:dyDescent="0.2">
      <c r="A293" s="50" t="s">
        <v>40</v>
      </c>
      <c r="B293" s="51" t="s">
        <v>314</v>
      </c>
      <c r="C293" s="51"/>
      <c r="D293" s="58" t="s">
        <v>456</v>
      </c>
      <c r="E293" s="53">
        <v>360</v>
      </c>
      <c r="F293" s="9">
        <v>6.88</v>
      </c>
      <c r="G293" s="10">
        <v>7.54</v>
      </c>
      <c r="H293" s="54">
        <f t="shared" si="13"/>
        <v>2714.4</v>
      </c>
      <c r="I293" s="55">
        <v>0</v>
      </c>
      <c r="J293" s="75">
        <f t="shared" si="14"/>
        <v>2714.4</v>
      </c>
      <c r="K293" s="57">
        <f t="shared" si="15"/>
        <v>2476.8000000000002</v>
      </c>
    </row>
    <row r="294" spans="1:21" ht="15" x14ac:dyDescent="0.2">
      <c r="A294" s="50" t="s">
        <v>40</v>
      </c>
      <c r="B294" s="51" t="s">
        <v>329</v>
      </c>
      <c r="C294" s="51"/>
      <c r="D294" s="58" t="s">
        <v>471</v>
      </c>
      <c r="E294" s="53">
        <v>360</v>
      </c>
      <c r="F294" s="9">
        <v>21.33</v>
      </c>
      <c r="G294" s="10">
        <v>22.33</v>
      </c>
      <c r="H294" s="54">
        <f t="shared" si="13"/>
        <v>8038.7999999999993</v>
      </c>
      <c r="I294" s="55">
        <v>0</v>
      </c>
      <c r="J294" s="75">
        <f t="shared" si="14"/>
        <v>8038.7999999999993</v>
      </c>
      <c r="K294" s="57">
        <f t="shared" si="15"/>
        <v>7678.7999999999993</v>
      </c>
    </row>
    <row r="295" spans="1:21" ht="15" x14ac:dyDescent="0.2">
      <c r="A295" s="50" t="s">
        <v>40</v>
      </c>
      <c r="B295" s="51" t="s">
        <v>317</v>
      </c>
      <c r="C295" s="51"/>
      <c r="D295" s="58" t="s">
        <v>459</v>
      </c>
      <c r="E295" s="53">
        <v>36</v>
      </c>
      <c r="F295" s="9">
        <v>59.17</v>
      </c>
      <c r="G295" s="10">
        <v>60</v>
      </c>
      <c r="H295" s="54">
        <f t="shared" si="13"/>
        <v>2160</v>
      </c>
      <c r="I295" s="55">
        <v>0</v>
      </c>
      <c r="J295" s="75">
        <f t="shared" si="14"/>
        <v>2160</v>
      </c>
      <c r="K295" s="57">
        <f t="shared" si="15"/>
        <v>2130.12</v>
      </c>
    </row>
    <row r="296" spans="1:21" ht="15" x14ac:dyDescent="0.2">
      <c r="A296" s="50" t="s">
        <v>40</v>
      </c>
      <c r="B296" s="51" t="s">
        <v>335</v>
      </c>
      <c r="C296" s="51" t="s">
        <v>384</v>
      </c>
      <c r="D296" s="58" t="s">
        <v>477</v>
      </c>
      <c r="E296" s="53">
        <v>48</v>
      </c>
      <c r="F296" s="9">
        <v>7.04</v>
      </c>
      <c r="G296" s="10">
        <v>7.54</v>
      </c>
      <c r="H296" s="54">
        <f t="shared" si="13"/>
        <v>361.92</v>
      </c>
      <c r="I296" s="55">
        <v>0</v>
      </c>
      <c r="J296" s="75">
        <f t="shared" si="14"/>
        <v>361.92</v>
      </c>
      <c r="K296" s="57">
        <f t="shared" si="15"/>
        <v>337.92</v>
      </c>
    </row>
    <row r="297" spans="1:21" ht="15" x14ac:dyDescent="0.2">
      <c r="A297" s="50" t="s">
        <v>40</v>
      </c>
      <c r="B297" s="51" t="s">
        <v>313</v>
      </c>
      <c r="C297" s="51"/>
      <c r="D297" s="58" t="s">
        <v>455</v>
      </c>
      <c r="E297" s="53">
        <v>24</v>
      </c>
      <c r="F297" s="9">
        <v>7.04</v>
      </c>
      <c r="G297" s="10">
        <v>7.54</v>
      </c>
      <c r="H297" s="54">
        <f t="shared" si="13"/>
        <v>180.96</v>
      </c>
      <c r="I297" s="55">
        <v>0</v>
      </c>
      <c r="J297" s="75">
        <f t="shared" si="14"/>
        <v>180.96</v>
      </c>
      <c r="K297" s="57">
        <f t="shared" si="15"/>
        <v>168.96</v>
      </c>
    </row>
    <row r="298" spans="1:21" ht="15" x14ac:dyDescent="0.2">
      <c r="A298" s="50" t="s">
        <v>40</v>
      </c>
      <c r="B298" s="51" t="s">
        <v>317</v>
      </c>
      <c r="C298" s="51" t="s">
        <v>385</v>
      </c>
      <c r="D298" s="58" t="s">
        <v>459</v>
      </c>
      <c r="E298" s="53">
        <v>3</v>
      </c>
      <c r="F298" s="9">
        <v>59.17</v>
      </c>
      <c r="G298" s="10">
        <v>60</v>
      </c>
      <c r="H298" s="54">
        <f t="shared" si="13"/>
        <v>180</v>
      </c>
      <c r="I298" s="55">
        <v>0</v>
      </c>
      <c r="J298" s="75">
        <f t="shared" si="14"/>
        <v>180</v>
      </c>
      <c r="K298" s="57">
        <f t="shared" si="15"/>
        <v>177.51</v>
      </c>
    </row>
    <row r="299" spans="1:21" ht="15" x14ac:dyDescent="0.2">
      <c r="A299" s="50" t="s">
        <v>40</v>
      </c>
      <c r="B299" s="51" t="s">
        <v>335</v>
      </c>
      <c r="C299" s="51" t="s">
        <v>386</v>
      </c>
      <c r="D299" s="58" t="s">
        <v>477</v>
      </c>
      <c r="E299" s="53">
        <v>24</v>
      </c>
      <c r="F299" s="9">
        <v>7.04</v>
      </c>
      <c r="G299" s="10">
        <v>7.54</v>
      </c>
      <c r="H299" s="54">
        <f t="shared" si="13"/>
        <v>180.96</v>
      </c>
      <c r="I299" s="55">
        <v>0</v>
      </c>
      <c r="J299" s="75">
        <f t="shared" si="14"/>
        <v>180.96</v>
      </c>
      <c r="K299" s="57">
        <f t="shared" si="15"/>
        <v>168.96</v>
      </c>
    </row>
    <row r="300" spans="1:21" ht="15" x14ac:dyDescent="0.2">
      <c r="A300" s="50" t="s">
        <v>40</v>
      </c>
      <c r="B300" s="51" t="s">
        <v>317</v>
      </c>
      <c r="C300" s="51"/>
      <c r="D300" s="58" t="s">
        <v>459</v>
      </c>
      <c r="E300" s="53">
        <v>2</v>
      </c>
      <c r="F300" s="9">
        <v>59.17</v>
      </c>
      <c r="G300" s="10">
        <v>60</v>
      </c>
      <c r="H300" s="54">
        <f t="shared" si="13"/>
        <v>120</v>
      </c>
      <c r="I300" s="55">
        <v>0</v>
      </c>
      <c r="J300" s="75">
        <f t="shared" si="14"/>
        <v>120</v>
      </c>
      <c r="K300" s="57">
        <f t="shared" si="15"/>
        <v>118.34</v>
      </c>
    </row>
    <row r="301" spans="1:21" ht="15" x14ac:dyDescent="0.2">
      <c r="A301" s="50" t="s">
        <v>40</v>
      </c>
      <c r="B301" s="51" t="s">
        <v>316</v>
      </c>
      <c r="C301" s="51" t="s">
        <v>387</v>
      </c>
      <c r="D301" s="58" t="s">
        <v>458</v>
      </c>
      <c r="E301" s="53">
        <v>36</v>
      </c>
      <c r="F301" s="9">
        <v>15.92</v>
      </c>
      <c r="G301" s="10">
        <v>16.329999999999998</v>
      </c>
      <c r="H301" s="54">
        <f t="shared" si="13"/>
        <v>587.87999999999988</v>
      </c>
      <c r="I301" s="55">
        <v>0</v>
      </c>
      <c r="J301" s="75">
        <f t="shared" si="14"/>
        <v>587.87999999999988</v>
      </c>
      <c r="K301" s="57">
        <f t="shared" si="15"/>
        <v>573.12</v>
      </c>
      <c r="L301" s="2">
        <v>34430.519999999997</v>
      </c>
      <c r="M301" s="2">
        <v>34489</v>
      </c>
      <c r="N301" s="59">
        <f>M301-L301</f>
        <v>58.480000000003201</v>
      </c>
    </row>
    <row r="302" spans="1:21" ht="15" x14ac:dyDescent="0.2">
      <c r="A302" s="50" t="s">
        <v>42</v>
      </c>
      <c r="B302" s="51" t="s">
        <v>316</v>
      </c>
      <c r="C302" s="51" t="s">
        <v>388</v>
      </c>
      <c r="D302" s="58" t="s">
        <v>458</v>
      </c>
      <c r="E302" s="53">
        <v>144</v>
      </c>
      <c r="F302" s="9">
        <v>15.92</v>
      </c>
      <c r="G302" s="10">
        <v>16.329999999999998</v>
      </c>
      <c r="H302" s="54">
        <f t="shared" si="13"/>
        <v>2351.5199999999995</v>
      </c>
      <c r="I302" s="55">
        <v>0</v>
      </c>
      <c r="J302" s="75">
        <f t="shared" si="14"/>
        <v>2351.5199999999995</v>
      </c>
      <c r="K302" s="57">
        <f t="shared" si="15"/>
        <v>2292.48</v>
      </c>
      <c r="N302" s="59"/>
    </row>
    <row r="303" spans="1:21" ht="15" x14ac:dyDescent="0.2">
      <c r="A303" s="50" t="s">
        <v>42</v>
      </c>
      <c r="B303" s="51" t="s">
        <v>322</v>
      </c>
      <c r="C303" s="51"/>
      <c r="D303" s="58" t="s">
        <v>464</v>
      </c>
      <c r="E303" s="53">
        <v>72</v>
      </c>
      <c r="F303" s="9">
        <v>15.92</v>
      </c>
      <c r="G303" s="10">
        <v>16.329999999999998</v>
      </c>
      <c r="H303" s="54">
        <f t="shared" si="13"/>
        <v>1175.7599999999998</v>
      </c>
      <c r="I303" s="55">
        <v>0</v>
      </c>
      <c r="J303" s="75">
        <f t="shared" si="14"/>
        <v>1175.7599999999998</v>
      </c>
      <c r="K303" s="57">
        <f t="shared" si="15"/>
        <v>1146.24</v>
      </c>
    </row>
    <row r="304" spans="1:21" ht="15" x14ac:dyDescent="0.2">
      <c r="A304" s="50" t="s">
        <v>42</v>
      </c>
      <c r="B304" s="51" t="s">
        <v>323</v>
      </c>
      <c r="C304" s="51"/>
      <c r="D304" s="58" t="s">
        <v>465</v>
      </c>
      <c r="E304" s="53">
        <v>84</v>
      </c>
      <c r="F304" s="9">
        <v>15.92</v>
      </c>
      <c r="G304" s="10">
        <v>16.329999999999998</v>
      </c>
      <c r="H304" s="54">
        <f t="shared" si="13"/>
        <v>1371.7199999999998</v>
      </c>
      <c r="I304" s="55">
        <v>0</v>
      </c>
      <c r="J304" s="75">
        <f t="shared" si="14"/>
        <v>1371.7199999999998</v>
      </c>
      <c r="K304" s="57">
        <f t="shared" si="15"/>
        <v>1337.28</v>
      </c>
    </row>
    <row r="305" spans="1:14" ht="15" x14ac:dyDescent="0.2">
      <c r="A305" s="50" t="s">
        <v>42</v>
      </c>
      <c r="B305" s="51" t="s">
        <v>335</v>
      </c>
      <c r="C305" s="51" t="s">
        <v>389</v>
      </c>
      <c r="D305" s="58" t="s">
        <v>477</v>
      </c>
      <c r="E305" s="53">
        <v>720</v>
      </c>
      <c r="F305" s="9">
        <v>7.04</v>
      </c>
      <c r="G305" s="10">
        <v>7.54</v>
      </c>
      <c r="H305" s="54">
        <f t="shared" si="13"/>
        <v>5428.8</v>
      </c>
      <c r="I305" s="55">
        <v>0</v>
      </c>
      <c r="J305" s="75">
        <f t="shared" si="14"/>
        <v>5428.8</v>
      </c>
      <c r="K305" s="57">
        <f t="shared" si="15"/>
        <v>5068.8</v>
      </c>
    </row>
    <row r="306" spans="1:14" ht="15" x14ac:dyDescent="0.2">
      <c r="A306" s="50" t="s">
        <v>42</v>
      </c>
      <c r="B306" s="51" t="s">
        <v>313</v>
      </c>
      <c r="C306" s="51"/>
      <c r="D306" s="58" t="s">
        <v>455</v>
      </c>
      <c r="E306" s="53">
        <v>240</v>
      </c>
      <c r="F306" s="9">
        <v>7.04</v>
      </c>
      <c r="G306" s="10">
        <v>7.54</v>
      </c>
      <c r="H306" s="54">
        <f t="shared" si="13"/>
        <v>1809.6</v>
      </c>
      <c r="I306" s="55">
        <v>0</v>
      </c>
      <c r="J306" s="75">
        <f t="shared" si="14"/>
        <v>1809.6</v>
      </c>
      <c r="K306" s="57">
        <f t="shared" si="15"/>
        <v>1689.6</v>
      </c>
    </row>
    <row r="307" spans="1:14" ht="15" x14ac:dyDescent="0.2">
      <c r="A307" s="50" t="s">
        <v>42</v>
      </c>
      <c r="B307" s="51" t="s">
        <v>314</v>
      </c>
      <c r="C307" s="51"/>
      <c r="D307" s="58" t="s">
        <v>456</v>
      </c>
      <c r="E307" s="53">
        <v>240</v>
      </c>
      <c r="F307" s="9">
        <v>6.88</v>
      </c>
      <c r="G307" s="10">
        <v>7.54</v>
      </c>
      <c r="H307" s="54">
        <f t="shared" si="13"/>
        <v>1809.6</v>
      </c>
      <c r="I307" s="55">
        <v>0</v>
      </c>
      <c r="J307" s="75">
        <f t="shared" si="14"/>
        <v>1809.6</v>
      </c>
      <c r="K307" s="57">
        <f t="shared" si="15"/>
        <v>1651.2</v>
      </c>
    </row>
    <row r="308" spans="1:14" ht="15" x14ac:dyDescent="0.2">
      <c r="A308" s="50" t="s">
        <v>42</v>
      </c>
      <c r="B308" s="51" t="s">
        <v>316</v>
      </c>
      <c r="C308" s="51"/>
      <c r="D308" s="58" t="s">
        <v>458</v>
      </c>
      <c r="E308" s="53">
        <v>600</v>
      </c>
      <c r="F308" s="9">
        <v>15.92</v>
      </c>
      <c r="G308" s="10">
        <v>16.329999999999998</v>
      </c>
      <c r="H308" s="54">
        <f t="shared" si="13"/>
        <v>9797.9999999999982</v>
      </c>
      <c r="I308" s="55">
        <v>0</v>
      </c>
      <c r="J308" s="75">
        <f t="shared" si="14"/>
        <v>9797.9999999999982</v>
      </c>
      <c r="K308" s="57">
        <f t="shared" si="15"/>
        <v>9552</v>
      </c>
    </row>
    <row r="309" spans="1:14" ht="15" x14ac:dyDescent="0.2">
      <c r="A309" s="50" t="s">
        <v>42</v>
      </c>
      <c r="B309" s="51" t="s">
        <v>322</v>
      </c>
      <c r="C309" s="51"/>
      <c r="D309" s="58" t="s">
        <v>464</v>
      </c>
      <c r="E309" s="53">
        <v>120</v>
      </c>
      <c r="F309" s="9">
        <v>15.92</v>
      </c>
      <c r="G309" s="10">
        <v>16.329999999999998</v>
      </c>
      <c r="H309" s="54">
        <f t="shared" si="13"/>
        <v>1959.6</v>
      </c>
      <c r="I309" s="55">
        <v>0</v>
      </c>
      <c r="J309" s="75">
        <f t="shared" si="14"/>
        <v>1959.6</v>
      </c>
      <c r="K309" s="57">
        <f t="shared" si="15"/>
        <v>1910.4</v>
      </c>
    </row>
    <row r="310" spans="1:14" ht="15" x14ac:dyDescent="0.2">
      <c r="A310" s="50" t="s">
        <v>42</v>
      </c>
      <c r="B310" s="51" t="s">
        <v>323</v>
      </c>
      <c r="C310" s="51"/>
      <c r="D310" s="58" t="s">
        <v>465</v>
      </c>
      <c r="E310" s="53">
        <v>120</v>
      </c>
      <c r="F310" s="9">
        <v>15.92</v>
      </c>
      <c r="G310" s="10">
        <v>16.329999999999998</v>
      </c>
      <c r="H310" s="54">
        <f t="shared" si="13"/>
        <v>1959.6</v>
      </c>
      <c r="I310" s="55">
        <v>0</v>
      </c>
      <c r="J310" s="75">
        <f t="shared" si="14"/>
        <v>1959.6</v>
      </c>
      <c r="K310" s="57">
        <f t="shared" si="15"/>
        <v>1910.4</v>
      </c>
      <c r="N310" s="59"/>
    </row>
    <row r="311" spans="1:14" ht="15" x14ac:dyDescent="0.2">
      <c r="A311" s="50" t="s">
        <v>42</v>
      </c>
      <c r="B311" s="51" t="s">
        <v>319</v>
      </c>
      <c r="C311" s="51"/>
      <c r="D311" s="58" t="s">
        <v>461</v>
      </c>
      <c r="E311" s="53">
        <v>240</v>
      </c>
      <c r="F311" s="9">
        <v>11.58</v>
      </c>
      <c r="G311" s="10">
        <v>12</v>
      </c>
      <c r="H311" s="54">
        <f t="shared" si="13"/>
        <v>2880</v>
      </c>
      <c r="I311" s="55">
        <v>0</v>
      </c>
      <c r="J311" s="75">
        <f t="shared" si="14"/>
        <v>2880</v>
      </c>
      <c r="K311" s="57">
        <f t="shared" si="15"/>
        <v>2779.2</v>
      </c>
    </row>
    <row r="312" spans="1:14" ht="15" x14ac:dyDescent="0.2">
      <c r="A312" s="50" t="s">
        <v>42</v>
      </c>
      <c r="B312" s="51" t="s">
        <v>320</v>
      </c>
      <c r="C312" s="51"/>
      <c r="D312" s="58" t="s">
        <v>462</v>
      </c>
      <c r="E312" s="53">
        <v>120</v>
      </c>
      <c r="F312" s="9">
        <v>11.58</v>
      </c>
      <c r="G312" s="10">
        <v>12</v>
      </c>
      <c r="H312" s="54">
        <f t="shared" si="13"/>
        <v>1440</v>
      </c>
      <c r="I312" s="55">
        <v>0</v>
      </c>
      <c r="J312" s="75">
        <f t="shared" si="14"/>
        <v>1440</v>
      </c>
      <c r="K312" s="57">
        <f t="shared" si="15"/>
        <v>1389.6</v>
      </c>
    </row>
    <row r="313" spans="1:14" ht="15" x14ac:dyDescent="0.2">
      <c r="A313" s="50" t="s">
        <v>42</v>
      </c>
      <c r="B313" s="51" t="s">
        <v>336</v>
      </c>
      <c r="C313" s="51"/>
      <c r="D313" s="58" t="s">
        <v>478</v>
      </c>
      <c r="E313" s="53">
        <v>120</v>
      </c>
      <c r="F313" s="9">
        <v>11.58</v>
      </c>
      <c r="G313" s="10">
        <v>12</v>
      </c>
      <c r="H313" s="54">
        <f t="shared" si="13"/>
        <v>1440</v>
      </c>
      <c r="I313" s="55">
        <v>0</v>
      </c>
      <c r="J313" s="75">
        <f t="shared" si="14"/>
        <v>1440</v>
      </c>
      <c r="K313" s="57">
        <f t="shared" si="15"/>
        <v>1389.6</v>
      </c>
    </row>
    <row r="314" spans="1:14" ht="15" x14ac:dyDescent="0.2">
      <c r="A314" s="50" t="s">
        <v>42</v>
      </c>
      <c r="B314" s="51" t="s">
        <v>317</v>
      </c>
      <c r="C314" s="51"/>
      <c r="D314" s="58" t="s">
        <v>459</v>
      </c>
      <c r="E314" s="53">
        <v>120</v>
      </c>
      <c r="F314" s="9">
        <v>59.17</v>
      </c>
      <c r="G314" s="10">
        <v>60</v>
      </c>
      <c r="H314" s="54">
        <f t="shared" si="13"/>
        <v>7200</v>
      </c>
      <c r="I314" s="55">
        <v>0</v>
      </c>
      <c r="J314" s="75">
        <f t="shared" si="14"/>
        <v>7200</v>
      </c>
      <c r="K314" s="57">
        <f t="shared" si="15"/>
        <v>7100.4000000000005</v>
      </c>
    </row>
    <row r="315" spans="1:14" ht="15" x14ac:dyDescent="0.2">
      <c r="A315" s="50" t="s">
        <v>42</v>
      </c>
      <c r="B315" s="51" t="s">
        <v>328</v>
      </c>
      <c r="C315" s="51"/>
      <c r="D315" s="58" t="s">
        <v>470</v>
      </c>
      <c r="E315" s="53">
        <v>12</v>
      </c>
      <c r="F315" s="9">
        <v>59.17</v>
      </c>
      <c r="G315" s="10">
        <v>60</v>
      </c>
      <c r="H315" s="54">
        <f t="shared" si="13"/>
        <v>720</v>
      </c>
      <c r="I315" s="55">
        <v>0</v>
      </c>
      <c r="J315" s="75">
        <f t="shared" si="14"/>
        <v>720</v>
      </c>
      <c r="K315" s="57">
        <f t="shared" si="15"/>
        <v>710.04</v>
      </c>
    </row>
    <row r="316" spans="1:14" ht="15" x14ac:dyDescent="0.2">
      <c r="A316" s="50" t="s">
        <v>42</v>
      </c>
      <c r="B316" s="51" t="s">
        <v>318</v>
      </c>
      <c r="C316" s="51"/>
      <c r="D316" s="58" t="s">
        <v>460</v>
      </c>
      <c r="E316" s="53">
        <v>12</v>
      </c>
      <c r="F316" s="9">
        <v>59.17</v>
      </c>
      <c r="G316" s="10">
        <v>60</v>
      </c>
      <c r="H316" s="54">
        <f t="shared" si="13"/>
        <v>720</v>
      </c>
      <c r="I316" s="55">
        <v>0</v>
      </c>
      <c r="J316" s="75">
        <f t="shared" si="14"/>
        <v>720</v>
      </c>
      <c r="K316" s="57">
        <f t="shared" si="15"/>
        <v>710.04</v>
      </c>
    </row>
    <row r="317" spans="1:14" ht="15" x14ac:dyDescent="0.2">
      <c r="A317" s="50" t="s">
        <v>42</v>
      </c>
      <c r="B317" s="51" t="s">
        <v>324</v>
      </c>
      <c r="C317" s="51"/>
      <c r="D317" s="58" t="s">
        <v>466</v>
      </c>
      <c r="E317" s="53">
        <v>120</v>
      </c>
      <c r="F317" s="9">
        <v>6.67</v>
      </c>
      <c r="G317" s="10">
        <v>7.25</v>
      </c>
      <c r="H317" s="54">
        <f t="shared" si="13"/>
        <v>870</v>
      </c>
      <c r="I317" s="55">
        <v>0</v>
      </c>
      <c r="J317" s="75">
        <f t="shared" si="14"/>
        <v>870</v>
      </c>
      <c r="K317" s="57">
        <f t="shared" si="15"/>
        <v>800.4</v>
      </c>
    </row>
    <row r="318" spans="1:14" ht="15" x14ac:dyDescent="0.2">
      <c r="A318" s="50" t="s">
        <v>42</v>
      </c>
      <c r="B318" s="51" t="s">
        <v>331</v>
      </c>
      <c r="C318" s="51"/>
      <c r="D318" s="58" t="s">
        <v>473</v>
      </c>
      <c r="E318" s="53">
        <v>96</v>
      </c>
      <c r="F318" s="9">
        <v>8.7100000000000009</v>
      </c>
      <c r="G318" s="10">
        <v>9.3800000000000008</v>
      </c>
      <c r="H318" s="54">
        <f t="shared" si="13"/>
        <v>900.48</v>
      </c>
      <c r="I318" s="55">
        <v>0</v>
      </c>
      <c r="J318" s="75">
        <f t="shared" si="14"/>
        <v>900.48</v>
      </c>
      <c r="K318" s="57">
        <f t="shared" si="15"/>
        <v>836.16000000000008</v>
      </c>
    </row>
    <row r="319" spans="1:14" ht="15" x14ac:dyDescent="0.2">
      <c r="A319" s="50" t="s">
        <v>42</v>
      </c>
      <c r="B319" s="51" t="s">
        <v>332</v>
      </c>
      <c r="C319" s="51"/>
      <c r="D319" s="58" t="s">
        <v>474</v>
      </c>
      <c r="E319" s="53">
        <v>24</v>
      </c>
      <c r="F319" s="9">
        <v>14.58</v>
      </c>
      <c r="G319" s="10">
        <v>15.92</v>
      </c>
      <c r="H319" s="54">
        <f t="shared" si="13"/>
        <v>382.08</v>
      </c>
      <c r="I319" s="55">
        <v>1.76</v>
      </c>
      <c r="J319" s="75">
        <f t="shared" si="14"/>
        <v>380.32</v>
      </c>
      <c r="K319" s="57">
        <f t="shared" si="15"/>
        <v>349.92</v>
      </c>
    </row>
    <row r="320" spans="1:14" ht="15" x14ac:dyDescent="0.2">
      <c r="A320" s="50" t="s">
        <v>42</v>
      </c>
      <c r="B320" s="51" t="s">
        <v>316</v>
      </c>
      <c r="C320" s="51" t="s">
        <v>390</v>
      </c>
      <c r="D320" s="58" t="s">
        <v>458</v>
      </c>
      <c r="E320" s="53">
        <v>240</v>
      </c>
      <c r="F320" s="9">
        <v>15.92</v>
      </c>
      <c r="G320" s="10">
        <v>16.329999999999998</v>
      </c>
      <c r="H320" s="54">
        <f t="shared" si="13"/>
        <v>3919.2</v>
      </c>
      <c r="I320" s="55">
        <v>0</v>
      </c>
      <c r="J320" s="75">
        <f t="shared" si="14"/>
        <v>3919.2</v>
      </c>
      <c r="K320" s="57">
        <f t="shared" si="15"/>
        <v>3820.8</v>
      </c>
    </row>
    <row r="321" spans="1:14" ht="15" x14ac:dyDescent="0.2">
      <c r="A321" s="50" t="s">
        <v>42</v>
      </c>
      <c r="B321" s="51" t="s">
        <v>322</v>
      </c>
      <c r="C321" s="51"/>
      <c r="D321" s="58" t="s">
        <v>464</v>
      </c>
      <c r="E321" s="53">
        <v>120</v>
      </c>
      <c r="F321" s="9">
        <v>15.92</v>
      </c>
      <c r="G321" s="10">
        <v>16.329999999999998</v>
      </c>
      <c r="H321" s="54">
        <f t="shared" si="13"/>
        <v>1959.6</v>
      </c>
      <c r="I321" s="55">
        <v>0</v>
      </c>
      <c r="J321" s="75">
        <f t="shared" si="14"/>
        <v>1959.6</v>
      </c>
      <c r="K321" s="57">
        <f t="shared" si="15"/>
        <v>1910.4</v>
      </c>
    </row>
    <row r="322" spans="1:14" ht="15" x14ac:dyDescent="0.2">
      <c r="A322" s="50" t="s">
        <v>42</v>
      </c>
      <c r="B322" s="51" t="s">
        <v>323</v>
      </c>
      <c r="C322" s="51"/>
      <c r="D322" s="58" t="s">
        <v>465</v>
      </c>
      <c r="E322" s="53">
        <v>60</v>
      </c>
      <c r="F322" s="9">
        <v>15.92</v>
      </c>
      <c r="G322" s="10">
        <v>16.329999999999998</v>
      </c>
      <c r="H322" s="54">
        <f t="shared" si="13"/>
        <v>979.8</v>
      </c>
      <c r="I322" s="55">
        <v>0</v>
      </c>
      <c r="J322" s="75">
        <f t="shared" si="14"/>
        <v>979.8</v>
      </c>
      <c r="K322" s="57">
        <f t="shared" si="15"/>
        <v>955.2</v>
      </c>
    </row>
    <row r="323" spans="1:14" ht="15" x14ac:dyDescent="0.2">
      <c r="A323" s="50" t="s">
        <v>42</v>
      </c>
      <c r="B323" s="51" t="s">
        <v>319</v>
      </c>
      <c r="C323" s="51"/>
      <c r="D323" s="58" t="s">
        <v>461</v>
      </c>
      <c r="E323" s="53">
        <v>60</v>
      </c>
      <c r="F323" s="9">
        <v>11.58</v>
      </c>
      <c r="G323" s="10">
        <v>12</v>
      </c>
      <c r="H323" s="54">
        <f t="shared" si="13"/>
        <v>720</v>
      </c>
      <c r="I323" s="55">
        <v>0</v>
      </c>
      <c r="J323" s="75">
        <f t="shared" si="14"/>
        <v>720</v>
      </c>
      <c r="K323" s="57">
        <f t="shared" si="15"/>
        <v>694.8</v>
      </c>
    </row>
    <row r="324" spans="1:14" ht="15" x14ac:dyDescent="0.2">
      <c r="A324" s="50" t="s">
        <v>42</v>
      </c>
      <c r="B324" s="51" t="s">
        <v>320</v>
      </c>
      <c r="C324" s="51"/>
      <c r="D324" s="58" t="s">
        <v>462</v>
      </c>
      <c r="E324" s="53">
        <v>84</v>
      </c>
      <c r="F324" s="9">
        <v>11.58</v>
      </c>
      <c r="G324" s="10">
        <v>12</v>
      </c>
      <c r="H324" s="54">
        <f t="shared" si="13"/>
        <v>1008</v>
      </c>
      <c r="I324" s="55">
        <v>0</v>
      </c>
      <c r="J324" s="75">
        <f t="shared" si="14"/>
        <v>1008</v>
      </c>
      <c r="K324" s="57">
        <f t="shared" si="15"/>
        <v>972.72</v>
      </c>
    </row>
    <row r="325" spans="1:14" ht="15" x14ac:dyDescent="0.2">
      <c r="A325" s="50" t="s">
        <v>42</v>
      </c>
      <c r="B325" s="51" t="s">
        <v>336</v>
      </c>
      <c r="C325" s="51"/>
      <c r="D325" s="58" t="s">
        <v>478</v>
      </c>
      <c r="E325" s="53">
        <v>72</v>
      </c>
      <c r="F325" s="9">
        <v>11.58</v>
      </c>
      <c r="G325" s="10">
        <v>12</v>
      </c>
      <c r="H325" s="54">
        <f t="shared" si="13"/>
        <v>864</v>
      </c>
      <c r="I325" s="55">
        <v>0</v>
      </c>
      <c r="J325" s="75">
        <f t="shared" si="14"/>
        <v>864</v>
      </c>
      <c r="K325" s="57">
        <f t="shared" si="15"/>
        <v>833.76</v>
      </c>
    </row>
    <row r="326" spans="1:14" ht="15" x14ac:dyDescent="0.2">
      <c r="A326" s="50" t="s">
        <v>42</v>
      </c>
      <c r="B326" s="51" t="s">
        <v>335</v>
      </c>
      <c r="C326" s="51"/>
      <c r="D326" s="58" t="s">
        <v>477</v>
      </c>
      <c r="E326" s="53">
        <v>24</v>
      </c>
      <c r="F326" s="9">
        <v>7.04</v>
      </c>
      <c r="G326" s="10">
        <v>7.54</v>
      </c>
      <c r="H326" s="54">
        <f t="shared" ref="H326:H389" si="16">E326*G326</f>
        <v>180.96</v>
      </c>
      <c r="I326" s="55">
        <v>0</v>
      </c>
      <c r="J326" s="75">
        <f t="shared" ref="J326:J389" si="17">(G326*E326)-I326</f>
        <v>180.96</v>
      </c>
      <c r="K326" s="57">
        <f t="shared" ref="K326:K389" si="18">E326*F326</f>
        <v>168.96</v>
      </c>
    </row>
    <row r="327" spans="1:14" ht="15" x14ac:dyDescent="0.2">
      <c r="A327" s="50" t="s">
        <v>42</v>
      </c>
      <c r="B327" s="51" t="s">
        <v>335</v>
      </c>
      <c r="C327" s="51" t="s">
        <v>391</v>
      </c>
      <c r="D327" s="58" t="s">
        <v>477</v>
      </c>
      <c r="E327" s="53">
        <v>96</v>
      </c>
      <c r="F327" s="9">
        <v>7.04</v>
      </c>
      <c r="G327" s="10">
        <v>7.54</v>
      </c>
      <c r="H327" s="54">
        <f t="shared" si="16"/>
        <v>723.84</v>
      </c>
      <c r="I327" s="55">
        <v>0</v>
      </c>
      <c r="J327" s="75">
        <f t="shared" si="17"/>
        <v>723.84</v>
      </c>
      <c r="K327" s="57">
        <f t="shared" si="18"/>
        <v>675.84</v>
      </c>
    </row>
    <row r="328" spans="1:14" ht="15" x14ac:dyDescent="0.2">
      <c r="A328" s="50" t="s">
        <v>42</v>
      </c>
      <c r="B328" s="51" t="s">
        <v>316</v>
      </c>
      <c r="C328" s="51" t="s">
        <v>392</v>
      </c>
      <c r="D328" s="58" t="s">
        <v>458</v>
      </c>
      <c r="E328" s="53">
        <v>12</v>
      </c>
      <c r="F328" s="9">
        <v>15.92</v>
      </c>
      <c r="G328" s="10">
        <v>16.329999999999998</v>
      </c>
      <c r="H328" s="54">
        <f t="shared" si="16"/>
        <v>195.95999999999998</v>
      </c>
      <c r="I328" s="55">
        <v>0</v>
      </c>
      <c r="J328" s="75">
        <f t="shared" si="17"/>
        <v>195.95999999999998</v>
      </c>
      <c r="K328" s="57">
        <f t="shared" si="18"/>
        <v>191.04</v>
      </c>
    </row>
    <row r="329" spans="1:14" ht="15" x14ac:dyDescent="0.2">
      <c r="A329" s="50" t="s">
        <v>42</v>
      </c>
      <c r="B329" s="51" t="s">
        <v>313</v>
      </c>
      <c r="C329" s="51"/>
      <c r="D329" s="58" t="s">
        <v>455</v>
      </c>
      <c r="E329" s="53">
        <v>24</v>
      </c>
      <c r="F329" s="9">
        <v>7.04</v>
      </c>
      <c r="G329" s="10">
        <v>7.54</v>
      </c>
      <c r="H329" s="54">
        <f t="shared" si="16"/>
        <v>180.96</v>
      </c>
      <c r="I329" s="55">
        <v>0</v>
      </c>
      <c r="J329" s="75">
        <f t="shared" si="17"/>
        <v>180.96</v>
      </c>
      <c r="K329" s="57">
        <f t="shared" si="18"/>
        <v>168.96</v>
      </c>
    </row>
    <row r="330" spans="1:14" ht="15" x14ac:dyDescent="0.2">
      <c r="A330" s="50" t="s">
        <v>42</v>
      </c>
      <c r="B330" s="51" t="s">
        <v>335</v>
      </c>
      <c r="C330" s="51" t="s">
        <v>393</v>
      </c>
      <c r="D330" s="58" t="s">
        <v>477</v>
      </c>
      <c r="E330" s="53">
        <v>156</v>
      </c>
      <c r="F330" s="9">
        <v>7.04</v>
      </c>
      <c r="G330" s="10">
        <v>7.54</v>
      </c>
      <c r="H330" s="54">
        <f t="shared" si="16"/>
        <v>1176.24</v>
      </c>
      <c r="I330" s="55">
        <v>0</v>
      </c>
      <c r="J330" s="75">
        <f t="shared" si="17"/>
        <v>1176.24</v>
      </c>
      <c r="K330" s="57">
        <f t="shared" si="18"/>
        <v>1098.24</v>
      </c>
    </row>
    <row r="331" spans="1:14" ht="15" x14ac:dyDescent="0.2">
      <c r="A331" s="50" t="s">
        <v>42</v>
      </c>
      <c r="B331" s="51" t="s">
        <v>314</v>
      </c>
      <c r="C331" s="51"/>
      <c r="D331" s="58" t="s">
        <v>456</v>
      </c>
      <c r="E331" s="53">
        <v>12</v>
      </c>
      <c r="F331" s="9">
        <v>6.88</v>
      </c>
      <c r="G331" s="10">
        <v>7.54</v>
      </c>
      <c r="H331" s="54">
        <f t="shared" si="16"/>
        <v>90.48</v>
      </c>
      <c r="I331" s="55">
        <v>0</v>
      </c>
      <c r="J331" s="75">
        <f t="shared" si="17"/>
        <v>90.48</v>
      </c>
      <c r="K331" s="57">
        <f t="shared" si="18"/>
        <v>82.56</v>
      </c>
      <c r="N331" s="59"/>
    </row>
    <row r="332" spans="1:14" ht="15" x14ac:dyDescent="0.2">
      <c r="A332" s="50" t="s">
        <v>42</v>
      </c>
      <c r="B332" s="51" t="s">
        <v>318</v>
      </c>
      <c r="C332" s="51" t="s">
        <v>394</v>
      </c>
      <c r="D332" s="58" t="s">
        <v>460</v>
      </c>
      <c r="E332" s="53">
        <v>1</v>
      </c>
      <c r="F332" s="9">
        <v>59.17</v>
      </c>
      <c r="G332" s="10">
        <v>60</v>
      </c>
      <c r="H332" s="54">
        <f t="shared" si="16"/>
        <v>60</v>
      </c>
      <c r="I332" s="55">
        <v>0</v>
      </c>
      <c r="J332" s="75">
        <f t="shared" si="17"/>
        <v>60</v>
      </c>
      <c r="K332" s="57">
        <f t="shared" si="18"/>
        <v>59.17</v>
      </c>
    </row>
    <row r="333" spans="1:14" ht="15" x14ac:dyDescent="0.2">
      <c r="A333" s="50" t="s">
        <v>42</v>
      </c>
      <c r="B333" s="51" t="s">
        <v>316</v>
      </c>
      <c r="C333" s="51" t="s">
        <v>395</v>
      </c>
      <c r="D333" s="58" t="s">
        <v>458</v>
      </c>
      <c r="E333" s="53">
        <v>36</v>
      </c>
      <c r="F333" s="9">
        <v>15.92</v>
      </c>
      <c r="G333" s="10">
        <v>16.329999999999998</v>
      </c>
      <c r="H333" s="54">
        <f t="shared" si="16"/>
        <v>587.87999999999988</v>
      </c>
      <c r="I333" s="55">
        <v>0</v>
      </c>
      <c r="J333" s="75">
        <f t="shared" si="17"/>
        <v>587.87999999999988</v>
      </c>
      <c r="K333" s="57">
        <f t="shared" si="18"/>
        <v>573.12</v>
      </c>
    </row>
    <row r="334" spans="1:14" ht="15" x14ac:dyDescent="0.2">
      <c r="A334" s="50" t="s">
        <v>42</v>
      </c>
      <c r="B334" s="51" t="s">
        <v>335</v>
      </c>
      <c r="C334" s="51" t="s">
        <v>396</v>
      </c>
      <c r="D334" s="58" t="s">
        <v>477</v>
      </c>
      <c r="E334" s="53">
        <v>24</v>
      </c>
      <c r="F334" s="9">
        <v>7.04</v>
      </c>
      <c r="G334" s="10">
        <v>7.54</v>
      </c>
      <c r="H334" s="54">
        <f t="shared" si="16"/>
        <v>180.96</v>
      </c>
      <c r="I334" s="55">
        <v>0</v>
      </c>
      <c r="J334" s="75">
        <f t="shared" si="17"/>
        <v>180.96</v>
      </c>
      <c r="K334" s="57">
        <f t="shared" si="18"/>
        <v>168.96</v>
      </c>
    </row>
    <row r="335" spans="1:14" ht="15" x14ac:dyDescent="0.2">
      <c r="A335" s="50" t="s">
        <v>42</v>
      </c>
      <c r="B335" s="51" t="s">
        <v>317</v>
      </c>
      <c r="C335" s="51" t="s">
        <v>397</v>
      </c>
      <c r="D335" s="58" t="s">
        <v>459</v>
      </c>
      <c r="E335" s="53">
        <v>3</v>
      </c>
      <c r="F335" s="9">
        <v>59.17</v>
      </c>
      <c r="G335" s="10">
        <v>60</v>
      </c>
      <c r="H335" s="54">
        <f t="shared" si="16"/>
        <v>180</v>
      </c>
      <c r="I335" s="55">
        <v>0</v>
      </c>
      <c r="J335" s="75">
        <f t="shared" si="17"/>
        <v>180</v>
      </c>
      <c r="K335" s="57">
        <f t="shared" si="18"/>
        <v>177.51</v>
      </c>
    </row>
    <row r="336" spans="1:14" ht="15" x14ac:dyDescent="0.2">
      <c r="A336" s="50" t="s">
        <v>42</v>
      </c>
      <c r="B336" s="51" t="s">
        <v>317</v>
      </c>
      <c r="C336" s="51" t="s">
        <v>398</v>
      </c>
      <c r="D336" s="58" t="s">
        <v>459</v>
      </c>
      <c r="E336" s="53">
        <v>24</v>
      </c>
      <c r="F336" s="9">
        <v>59.17</v>
      </c>
      <c r="G336" s="10">
        <v>60</v>
      </c>
      <c r="H336" s="54">
        <f t="shared" si="16"/>
        <v>1440</v>
      </c>
      <c r="I336" s="55">
        <v>0</v>
      </c>
      <c r="J336" s="75">
        <f t="shared" si="17"/>
        <v>1440</v>
      </c>
      <c r="K336" s="57">
        <f t="shared" si="18"/>
        <v>1420.08</v>
      </c>
    </row>
    <row r="337" spans="1:14" ht="15" x14ac:dyDescent="0.2">
      <c r="A337" s="50" t="s">
        <v>42</v>
      </c>
      <c r="B337" s="51" t="s">
        <v>330</v>
      </c>
      <c r="C337" s="51"/>
      <c r="D337" s="58" t="s">
        <v>472</v>
      </c>
      <c r="E337" s="53">
        <v>12</v>
      </c>
      <c r="F337" s="9">
        <v>58.67</v>
      </c>
      <c r="G337" s="10">
        <v>60</v>
      </c>
      <c r="H337" s="54">
        <f t="shared" si="16"/>
        <v>720</v>
      </c>
      <c r="I337" s="55">
        <v>0</v>
      </c>
      <c r="J337" s="75">
        <f t="shared" si="17"/>
        <v>720</v>
      </c>
      <c r="K337" s="57">
        <f t="shared" si="18"/>
        <v>704.04</v>
      </c>
    </row>
    <row r="338" spans="1:14" ht="15" x14ac:dyDescent="0.2">
      <c r="A338" s="50" t="s">
        <v>42</v>
      </c>
      <c r="B338" s="51" t="s">
        <v>332</v>
      </c>
      <c r="C338" s="51"/>
      <c r="D338" s="58" t="s">
        <v>474</v>
      </c>
      <c r="E338" s="53">
        <v>12</v>
      </c>
      <c r="F338" s="9">
        <v>14.58</v>
      </c>
      <c r="G338" s="10">
        <v>15.92</v>
      </c>
      <c r="H338" s="54">
        <f t="shared" si="16"/>
        <v>191.04</v>
      </c>
      <c r="I338" s="55">
        <v>0</v>
      </c>
      <c r="J338" s="75">
        <f t="shared" si="17"/>
        <v>191.04</v>
      </c>
      <c r="K338" s="57">
        <f t="shared" si="18"/>
        <v>174.96</v>
      </c>
    </row>
    <row r="339" spans="1:14" ht="15" x14ac:dyDescent="0.2">
      <c r="A339" s="50" t="s">
        <v>42</v>
      </c>
      <c r="B339" s="51" t="s">
        <v>316</v>
      </c>
      <c r="C339" s="51" t="s">
        <v>399</v>
      </c>
      <c r="D339" s="58" t="s">
        <v>458</v>
      </c>
      <c r="E339" s="53">
        <v>24</v>
      </c>
      <c r="F339" s="9">
        <v>15.92</v>
      </c>
      <c r="G339" s="10">
        <v>16.329999999999998</v>
      </c>
      <c r="H339" s="54">
        <f t="shared" si="16"/>
        <v>391.91999999999996</v>
      </c>
      <c r="I339" s="55">
        <v>0</v>
      </c>
      <c r="J339" s="75">
        <f t="shared" si="17"/>
        <v>391.91999999999996</v>
      </c>
      <c r="K339" s="57">
        <f t="shared" si="18"/>
        <v>382.08</v>
      </c>
    </row>
    <row r="340" spans="1:14" ht="15" x14ac:dyDescent="0.2">
      <c r="A340" s="50" t="s">
        <v>42</v>
      </c>
      <c r="B340" s="51" t="s">
        <v>335</v>
      </c>
      <c r="C340" s="51"/>
      <c r="D340" s="58" t="s">
        <v>477</v>
      </c>
      <c r="E340" s="53">
        <v>24</v>
      </c>
      <c r="F340" s="9">
        <v>7.04</v>
      </c>
      <c r="G340" s="10">
        <v>7.54</v>
      </c>
      <c r="H340" s="54">
        <f t="shared" si="16"/>
        <v>180.96</v>
      </c>
      <c r="I340" s="55">
        <v>0</v>
      </c>
      <c r="J340" s="75">
        <f t="shared" si="17"/>
        <v>180.96</v>
      </c>
      <c r="K340" s="57">
        <f t="shared" si="18"/>
        <v>168.96</v>
      </c>
    </row>
    <row r="341" spans="1:14" ht="15" x14ac:dyDescent="0.2">
      <c r="A341" s="50" t="s">
        <v>42</v>
      </c>
      <c r="B341" s="51" t="s">
        <v>327</v>
      </c>
      <c r="C341" s="51" t="s">
        <v>400</v>
      </c>
      <c r="D341" s="58" t="s">
        <v>469</v>
      </c>
      <c r="E341" s="53">
        <v>260</v>
      </c>
      <c r="F341" s="9">
        <v>8.4</v>
      </c>
      <c r="G341" s="10">
        <v>8.8000000000000007</v>
      </c>
      <c r="H341" s="54">
        <f t="shared" si="16"/>
        <v>2288</v>
      </c>
      <c r="I341" s="55">
        <v>0</v>
      </c>
      <c r="J341" s="75">
        <f t="shared" si="17"/>
        <v>2288</v>
      </c>
      <c r="K341" s="57">
        <f t="shared" si="18"/>
        <v>2184</v>
      </c>
    </row>
    <row r="342" spans="1:14" ht="15" x14ac:dyDescent="0.2">
      <c r="A342" s="50" t="s">
        <v>42</v>
      </c>
      <c r="B342" s="51" t="s">
        <v>337</v>
      </c>
      <c r="C342" s="51"/>
      <c r="D342" s="58" t="s">
        <v>479</v>
      </c>
      <c r="E342" s="53">
        <v>260</v>
      </c>
      <c r="F342" s="9">
        <v>8.4</v>
      </c>
      <c r="G342" s="10">
        <v>8.8000000000000007</v>
      </c>
      <c r="H342" s="54">
        <f t="shared" si="16"/>
        <v>2288</v>
      </c>
      <c r="I342" s="55">
        <v>0</v>
      </c>
      <c r="J342" s="75">
        <f t="shared" si="17"/>
        <v>2288</v>
      </c>
      <c r="K342" s="57">
        <f t="shared" si="18"/>
        <v>2184</v>
      </c>
    </row>
    <row r="343" spans="1:14" ht="15" x14ac:dyDescent="0.2">
      <c r="A343" s="50" t="s">
        <v>42</v>
      </c>
      <c r="B343" s="51" t="s">
        <v>331</v>
      </c>
      <c r="C343" s="51" t="s">
        <v>401</v>
      </c>
      <c r="D343" s="58" t="s">
        <v>473</v>
      </c>
      <c r="E343" s="53">
        <v>24</v>
      </c>
      <c r="F343" s="9">
        <v>8.7100000000000009</v>
      </c>
      <c r="G343" s="10">
        <v>9.3800000000000008</v>
      </c>
      <c r="H343" s="54">
        <f t="shared" si="16"/>
        <v>225.12</v>
      </c>
      <c r="I343" s="55">
        <v>0.12</v>
      </c>
      <c r="J343" s="75">
        <f t="shared" si="17"/>
        <v>225</v>
      </c>
      <c r="K343" s="57">
        <f t="shared" si="18"/>
        <v>209.04000000000002</v>
      </c>
      <c r="L343" s="2">
        <v>64947.8</v>
      </c>
      <c r="M343" s="2">
        <v>65030</v>
      </c>
      <c r="N343" s="22">
        <f>M343-L343</f>
        <v>82.19999999999709</v>
      </c>
    </row>
    <row r="344" spans="1:14" ht="15" x14ac:dyDescent="0.2">
      <c r="A344" s="50" t="s">
        <v>43</v>
      </c>
      <c r="B344" s="51" t="s">
        <v>316</v>
      </c>
      <c r="C344" s="51" t="s">
        <v>402</v>
      </c>
      <c r="D344" s="58" t="s">
        <v>458</v>
      </c>
      <c r="E344" s="53">
        <v>1440</v>
      </c>
      <c r="F344" s="9">
        <v>15.92</v>
      </c>
      <c r="G344" s="10">
        <v>16.329999999999998</v>
      </c>
      <c r="H344" s="54">
        <f t="shared" si="16"/>
        <v>23515.199999999997</v>
      </c>
      <c r="I344" s="55">
        <v>0</v>
      </c>
      <c r="J344" s="77">
        <f>(G344*E344)-I344</f>
        <v>23515.199999999997</v>
      </c>
      <c r="K344" s="57">
        <f t="shared" si="18"/>
        <v>22924.799999999999</v>
      </c>
    </row>
    <row r="345" spans="1:14" ht="15" x14ac:dyDescent="0.2">
      <c r="A345" s="50" t="s">
        <v>43</v>
      </c>
      <c r="B345" s="51" t="s">
        <v>322</v>
      </c>
      <c r="C345" s="51"/>
      <c r="D345" s="58" t="s">
        <v>464</v>
      </c>
      <c r="E345" s="53">
        <v>120</v>
      </c>
      <c r="F345" s="9">
        <v>15.92</v>
      </c>
      <c r="G345" s="10">
        <v>16.329999999999998</v>
      </c>
      <c r="H345" s="54">
        <f t="shared" si="16"/>
        <v>1959.6</v>
      </c>
      <c r="I345" s="55">
        <v>0</v>
      </c>
      <c r="J345" s="77">
        <f t="shared" si="17"/>
        <v>1959.6</v>
      </c>
      <c r="K345" s="57">
        <f t="shared" si="18"/>
        <v>1910.4</v>
      </c>
    </row>
    <row r="346" spans="1:14" ht="15" x14ac:dyDescent="0.2">
      <c r="A346" s="50" t="s">
        <v>43</v>
      </c>
      <c r="B346" s="51" t="s">
        <v>323</v>
      </c>
      <c r="C346" s="51"/>
      <c r="D346" s="58" t="s">
        <v>465</v>
      </c>
      <c r="E346" s="53">
        <v>180</v>
      </c>
      <c r="F346" s="9">
        <v>15.92</v>
      </c>
      <c r="G346" s="10">
        <v>16.329999999999998</v>
      </c>
      <c r="H346" s="54">
        <f t="shared" si="16"/>
        <v>2939.3999999999996</v>
      </c>
      <c r="I346" s="55">
        <v>0</v>
      </c>
      <c r="J346" s="77">
        <f t="shared" si="17"/>
        <v>2939.3999999999996</v>
      </c>
      <c r="K346" s="57">
        <f t="shared" si="18"/>
        <v>2865.6</v>
      </c>
    </row>
    <row r="347" spans="1:14" ht="15" x14ac:dyDescent="0.2">
      <c r="A347" s="50" t="s">
        <v>43</v>
      </c>
      <c r="B347" s="51" t="s">
        <v>320</v>
      </c>
      <c r="C347" s="51"/>
      <c r="D347" s="58" t="s">
        <v>462</v>
      </c>
      <c r="E347" s="53">
        <v>120</v>
      </c>
      <c r="F347" s="9">
        <v>11.58</v>
      </c>
      <c r="G347" s="10">
        <v>12</v>
      </c>
      <c r="H347" s="54">
        <f t="shared" si="16"/>
        <v>1440</v>
      </c>
      <c r="I347" s="55">
        <v>0</v>
      </c>
      <c r="J347" s="77">
        <f t="shared" si="17"/>
        <v>1440</v>
      </c>
      <c r="K347" s="57">
        <f t="shared" si="18"/>
        <v>1389.6</v>
      </c>
    </row>
    <row r="348" spans="1:14" ht="15" x14ac:dyDescent="0.2">
      <c r="A348" s="50" t="s">
        <v>43</v>
      </c>
      <c r="B348" s="51" t="s">
        <v>336</v>
      </c>
      <c r="C348" s="51"/>
      <c r="D348" s="58" t="s">
        <v>478</v>
      </c>
      <c r="E348" s="53">
        <v>120</v>
      </c>
      <c r="F348" s="9">
        <v>11.58</v>
      </c>
      <c r="G348" s="10">
        <v>12</v>
      </c>
      <c r="H348" s="54">
        <f t="shared" si="16"/>
        <v>1440</v>
      </c>
      <c r="I348" s="55">
        <v>0</v>
      </c>
      <c r="J348" s="77">
        <f t="shared" si="17"/>
        <v>1440</v>
      </c>
      <c r="K348" s="57">
        <f t="shared" si="18"/>
        <v>1389.6</v>
      </c>
    </row>
    <row r="349" spans="1:14" ht="15" x14ac:dyDescent="0.2">
      <c r="A349" s="50" t="s">
        <v>43</v>
      </c>
      <c r="B349" s="51" t="s">
        <v>331</v>
      </c>
      <c r="C349" s="51"/>
      <c r="D349" s="58" t="s">
        <v>473</v>
      </c>
      <c r="E349" s="53">
        <v>96</v>
      </c>
      <c r="F349" s="9">
        <v>8.7100000000000009</v>
      </c>
      <c r="G349" s="10">
        <v>9.3800000000000008</v>
      </c>
      <c r="H349" s="54">
        <f t="shared" si="16"/>
        <v>900.48</v>
      </c>
      <c r="I349" s="55">
        <v>0</v>
      </c>
      <c r="J349" s="77">
        <f t="shared" si="17"/>
        <v>900.48</v>
      </c>
      <c r="K349" s="57">
        <f t="shared" si="18"/>
        <v>836.16000000000008</v>
      </c>
    </row>
    <row r="350" spans="1:14" ht="15" x14ac:dyDescent="0.2">
      <c r="A350" s="50" t="s">
        <v>43</v>
      </c>
      <c r="B350" s="51" t="s">
        <v>317</v>
      </c>
      <c r="C350" s="51"/>
      <c r="D350" s="58" t="s">
        <v>459</v>
      </c>
      <c r="E350" s="53">
        <v>84</v>
      </c>
      <c r="F350" s="9">
        <v>59.17</v>
      </c>
      <c r="G350" s="10">
        <v>60</v>
      </c>
      <c r="H350" s="54">
        <f t="shared" si="16"/>
        <v>5040</v>
      </c>
      <c r="I350" s="55">
        <v>0</v>
      </c>
      <c r="J350" s="77">
        <f t="shared" si="17"/>
        <v>5040</v>
      </c>
      <c r="K350" s="57">
        <f t="shared" si="18"/>
        <v>4970.28</v>
      </c>
    </row>
    <row r="351" spans="1:14" ht="15" x14ac:dyDescent="0.2">
      <c r="A351" s="50" t="s">
        <v>43</v>
      </c>
      <c r="B351" s="51" t="s">
        <v>335</v>
      </c>
      <c r="C351" s="51"/>
      <c r="D351" s="58" t="s">
        <v>477</v>
      </c>
      <c r="E351" s="53">
        <v>2160</v>
      </c>
      <c r="F351" s="9">
        <v>7.04</v>
      </c>
      <c r="G351" s="10">
        <v>7.54</v>
      </c>
      <c r="H351" s="54">
        <f t="shared" si="16"/>
        <v>16286.4</v>
      </c>
      <c r="I351" s="55">
        <v>0</v>
      </c>
      <c r="J351" s="77">
        <f t="shared" si="17"/>
        <v>16286.4</v>
      </c>
      <c r="K351" s="57">
        <f t="shared" si="18"/>
        <v>15206.4</v>
      </c>
    </row>
    <row r="352" spans="1:14" ht="15" x14ac:dyDescent="0.2">
      <c r="A352" s="50" t="s">
        <v>43</v>
      </c>
      <c r="B352" s="51" t="s">
        <v>317</v>
      </c>
      <c r="C352" s="51" t="s">
        <v>403</v>
      </c>
      <c r="D352" s="58" t="s">
        <v>459</v>
      </c>
      <c r="E352" s="53">
        <v>2</v>
      </c>
      <c r="F352" s="9">
        <v>59.17</v>
      </c>
      <c r="G352" s="10">
        <v>60</v>
      </c>
      <c r="H352" s="54">
        <f t="shared" si="16"/>
        <v>120</v>
      </c>
      <c r="I352" s="55">
        <v>0</v>
      </c>
      <c r="J352" s="77">
        <f t="shared" si="17"/>
        <v>120</v>
      </c>
      <c r="K352" s="57">
        <f t="shared" si="18"/>
        <v>118.34</v>
      </c>
      <c r="N352" s="59"/>
    </row>
    <row r="353" spans="1:14" ht="15" x14ac:dyDescent="0.2">
      <c r="A353" s="50" t="s">
        <v>43</v>
      </c>
      <c r="B353" s="51" t="s">
        <v>318</v>
      </c>
      <c r="C353" s="51"/>
      <c r="D353" s="58" t="s">
        <v>460</v>
      </c>
      <c r="E353" s="53">
        <v>2</v>
      </c>
      <c r="F353" s="9">
        <v>59.17</v>
      </c>
      <c r="G353" s="10">
        <v>60</v>
      </c>
      <c r="H353" s="54">
        <f t="shared" si="16"/>
        <v>120</v>
      </c>
      <c r="I353" s="55">
        <v>0</v>
      </c>
      <c r="J353" s="77">
        <f t="shared" si="17"/>
        <v>120</v>
      </c>
      <c r="K353" s="57">
        <f t="shared" si="18"/>
        <v>118.34</v>
      </c>
    </row>
    <row r="354" spans="1:14" ht="15" x14ac:dyDescent="0.2">
      <c r="A354" s="50" t="s">
        <v>43</v>
      </c>
      <c r="B354" s="51" t="s">
        <v>316</v>
      </c>
      <c r="C354" s="51"/>
      <c r="D354" s="58" t="s">
        <v>458</v>
      </c>
      <c r="E354" s="53">
        <v>12</v>
      </c>
      <c r="F354" s="9">
        <v>15.92</v>
      </c>
      <c r="G354" s="10">
        <v>16.329999999999998</v>
      </c>
      <c r="H354" s="54">
        <f t="shared" si="16"/>
        <v>195.95999999999998</v>
      </c>
      <c r="I354" s="55">
        <v>0</v>
      </c>
      <c r="J354" s="77">
        <f t="shared" si="17"/>
        <v>195.95999999999998</v>
      </c>
      <c r="K354" s="57">
        <f t="shared" si="18"/>
        <v>191.04</v>
      </c>
    </row>
    <row r="355" spans="1:14" ht="15" x14ac:dyDescent="0.2">
      <c r="A355" s="50" t="s">
        <v>43</v>
      </c>
      <c r="B355" s="51" t="s">
        <v>322</v>
      </c>
      <c r="C355" s="51"/>
      <c r="D355" s="58" t="s">
        <v>464</v>
      </c>
      <c r="E355" s="53">
        <v>12</v>
      </c>
      <c r="F355" s="9">
        <v>15.92</v>
      </c>
      <c r="G355" s="10">
        <v>16.329999999999998</v>
      </c>
      <c r="H355" s="54">
        <f t="shared" si="16"/>
        <v>195.95999999999998</v>
      </c>
      <c r="I355" s="55">
        <v>0</v>
      </c>
      <c r="J355" s="77">
        <f t="shared" si="17"/>
        <v>195.95999999999998</v>
      </c>
      <c r="K355" s="57">
        <f t="shared" si="18"/>
        <v>191.04</v>
      </c>
    </row>
    <row r="356" spans="1:14" ht="15" x14ac:dyDescent="0.2">
      <c r="A356" s="50" t="s">
        <v>43</v>
      </c>
      <c r="B356" s="51" t="s">
        <v>323</v>
      </c>
      <c r="C356" s="51"/>
      <c r="D356" s="58" t="s">
        <v>465</v>
      </c>
      <c r="E356" s="53">
        <v>12</v>
      </c>
      <c r="F356" s="9">
        <v>15.92</v>
      </c>
      <c r="G356" s="10">
        <v>16.329999999999998</v>
      </c>
      <c r="H356" s="54">
        <f t="shared" si="16"/>
        <v>195.95999999999998</v>
      </c>
      <c r="I356" s="55">
        <v>0</v>
      </c>
      <c r="J356" s="77">
        <f t="shared" si="17"/>
        <v>195.95999999999998</v>
      </c>
      <c r="K356" s="57">
        <f t="shared" si="18"/>
        <v>191.04</v>
      </c>
    </row>
    <row r="357" spans="1:14" ht="15" x14ac:dyDescent="0.2">
      <c r="A357" s="50" t="s">
        <v>43</v>
      </c>
      <c r="B357" s="51" t="s">
        <v>313</v>
      </c>
      <c r="C357" s="51"/>
      <c r="D357" s="58" t="s">
        <v>455</v>
      </c>
      <c r="E357" s="53">
        <v>24</v>
      </c>
      <c r="F357" s="9">
        <v>7.04</v>
      </c>
      <c r="G357" s="10">
        <v>7.54</v>
      </c>
      <c r="H357" s="54">
        <f t="shared" si="16"/>
        <v>180.96</v>
      </c>
      <c r="I357" s="55">
        <v>0</v>
      </c>
      <c r="J357" s="75">
        <f t="shared" si="17"/>
        <v>180.96</v>
      </c>
      <c r="K357" s="57">
        <f t="shared" si="18"/>
        <v>168.96</v>
      </c>
      <c r="N357" s="59"/>
    </row>
    <row r="358" spans="1:14" ht="15" x14ac:dyDescent="0.2">
      <c r="A358" s="50" t="s">
        <v>43</v>
      </c>
      <c r="B358" s="51" t="s">
        <v>314</v>
      </c>
      <c r="C358" s="51"/>
      <c r="D358" s="58" t="s">
        <v>456</v>
      </c>
      <c r="E358" s="53">
        <v>36</v>
      </c>
      <c r="F358" s="9">
        <v>6.88</v>
      </c>
      <c r="G358" s="10">
        <v>7.54</v>
      </c>
      <c r="H358" s="54">
        <f t="shared" si="16"/>
        <v>271.44</v>
      </c>
      <c r="I358" s="55">
        <v>0</v>
      </c>
      <c r="J358" s="75">
        <f t="shared" si="17"/>
        <v>271.44</v>
      </c>
      <c r="K358" s="57">
        <f t="shared" si="18"/>
        <v>247.68</v>
      </c>
    </row>
    <row r="359" spans="1:14" ht="15" x14ac:dyDescent="0.2">
      <c r="A359" s="50" t="s">
        <v>43</v>
      </c>
      <c r="B359" s="51" t="s">
        <v>335</v>
      </c>
      <c r="C359" s="51"/>
      <c r="D359" s="58" t="s">
        <v>477</v>
      </c>
      <c r="E359" s="53">
        <v>84</v>
      </c>
      <c r="F359" s="9">
        <v>7.04</v>
      </c>
      <c r="G359" s="10">
        <v>7.54</v>
      </c>
      <c r="H359" s="54">
        <f t="shared" si="16"/>
        <v>633.36</v>
      </c>
      <c r="I359" s="55">
        <v>0</v>
      </c>
      <c r="J359" s="77">
        <f t="shared" si="17"/>
        <v>633.36</v>
      </c>
      <c r="K359" s="57">
        <f t="shared" si="18"/>
        <v>591.36</v>
      </c>
      <c r="L359" s="2">
        <v>55434.720000000001</v>
      </c>
      <c r="M359" s="2">
        <v>54062</v>
      </c>
      <c r="N359" s="22">
        <v>117.28</v>
      </c>
    </row>
    <row r="360" spans="1:14" ht="15" x14ac:dyDescent="0.2">
      <c r="A360" s="50" t="s">
        <v>44</v>
      </c>
      <c r="B360" s="51" t="s">
        <v>320</v>
      </c>
      <c r="C360" s="51" t="s">
        <v>404</v>
      </c>
      <c r="D360" s="58" t="s">
        <v>462</v>
      </c>
      <c r="E360" s="53">
        <v>24</v>
      </c>
      <c r="F360" s="9">
        <v>11.58</v>
      </c>
      <c r="G360" s="10">
        <v>12</v>
      </c>
      <c r="H360" s="54">
        <f t="shared" si="16"/>
        <v>288</v>
      </c>
      <c r="I360" s="55">
        <v>0</v>
      </c>
      <c r="J360" s="78">
        <f t="shared" si="17"/>
        <v>288</v>
      </c>
      <c r="K360" s="57">
        <f t="shared" si="18"/>
        <v>277.92</v>
      </c>
    </row>
    <row r="361" spans="1:14" ht="15" x14ac:dyDescent="0.2">
      <c r="A361" s="50" t="s">
        <v>44</v>
      </c>
      <c r="B361" s="51" t="s">
        <v>330</v>
      </c>
      <c r="C361" s="51"/>
      <c r="D361" s="58" t="s">
        <v>472</v>
      </c>
      <c r="E361" s="53">
        <v>12</v>
      </c>
      <c r="F361" s="9">
        <v>58.67</v>
      </c>
      <c r="G361" s="10">
        <v>60</v>
      </c>
      <c r="H361" s="54">
        <f t="shared" si="16"/>
        <v>720</v>
      </c>
      <c r="I361" s="55">
        <v>0</v>
      </c>
      <c r="J361" s="78">
        <f t="shared" si="17"/>
        <v>720</v>
      </c>
      <c r="K361" s="57">
        <f t="shared" si="18"/>
        <v>704.04</v>
      </c>
    </row>
    <row r="362" spans="1:14" ht="15" x14ac:dyDescent="0.2">
      <c r="A362" s="50" t="s">
        <v>44</v>
      </c>
      <c r="B362" s="51" t="s">
        <v>318</v>
      </c>
      <c r="C362" s="51"/>
      <c r="D362" s="58" t="s">
        <v>460</v>
      </c>
      <c r="E362" s="53">
        <v>12</v>
      </c>
      <c r="F362" s="9">
        <v>59.17</v>
      </c>
      <c r="G362" s="10">
        <v>60</v>
      </c>
      <c r="H362" s="54">
        <f t="shared" si="16"/>
        <v>720</v>
      </c>
      <c r="I362" s="55">
        <v>0</v>
      </c>
      <c r="J362" s="78">
        <f t="shared" si="17"/>
        <v>720</v>
      </c>
      <c r="K362" s="57">
        <f t="shared" si="18"/>
        <v>710.04</v>
      </c>
    </row>
    <row r="363" spans="1:14" ht="15" x14ac:dyDescent="0.2">
      <c r="A363" s="50" t="s">
        <v>44</v>
      </c>
      <c r="B363" s="51" t="s">
        <v>336</v>
      </c>
      <c r="C363" s="51"/>
      <c r="D363" s="58" t="s">
        <v>478</v>
      </c>
      <c r="E363" s="53">
        <v>24</v>
      </c>
      <c r="F363" s="9">
        <v>11.58</v>
      </c>
      <c r="G363" s="10">
        <v>12</v>
      </c>
      <c r="H363" s="54">
        <f t="shared" si="16"/>
        <v>288</v>
      </c>
      <c r="I363" s="55">
        <v>0</v>
      </c>
      <c r="J363" s="78">
        <f t="shared" si="17"/>
        <v>288</v>
      </c>
      <c r="K363" s="57">
        <f t="shared" si="18"/>
        <v>277.92</v>
      </c>
    </row>
    <row r="364" spans="1:14" ht="15" x14ac:dyDescent="0.2">
      <c r="A364" s="50" t="s">
        <v>44</v>
      </c>
      <c r="B364" s="51" t="s">
        <v>316</v>
      </c>
      <c r="C364" s="51"/>
      <c r="D364" s="58" t="s">
        <v>458</v>
      </c>
      <c r="E364" s="53">
        <v>144</v>
      </c>
      <c r="F364" s="9">
        <v>15.92</v>
      </c>
      <c r="G364" s="10">
        <v>16.329999999999998</v>
      </c>
      <c r="H364" s="54">
        <f t="shared" si="16"/>
        <v>2351.5199999999995</v>
      </c>
      <c r="I364" s="55">
        <v>0</v>
      </c>
      <c r="J364" s="78">
        <f t="shared" si="17"/>
        <v>2351.5199999999995</v>
      </c>
      <c r="K364" s="57">
        <f t="shared" si="18"/>
        <v>2292.48</v>
      </c>
    </row>
    <row r="365" spans="1:14" ht="15" x14ac:dyDescent="0.2">
      <c r="A365" s="50" t="s">
        <v>44</v>
      </c>
      <c r="B365" s="51" t="s">
        <v>325</v>
      </c>
      <c r="C365" s="51"/>
      <c r="D365" s="58" t="s">
        <v>467</v>
      </c>
      <c r="E365" s="53">
        <v>6</v>
      </c>
      <c r="F365" s="9">
        <v>21.33</v>
      </c>
      <c r="G365" s="10">
        <v>22.33</v>
      </c>
      <c r="H365" s="54">
        <f t="shared" si="16"/>
        <v>133.97999999999999</v>
      </c>
      <c r="I365" s="55">
        <v>0</v>
      </c>
      <c r="J365" s="78">
        <f t="shared" si="17"/>
        <v>133.97999999999999</v>
      </c>
      <c r="K365" s="57">
        <f t="shared" si="18"/>
        <v>127.97999999999999</v>
      </c>
    </row>
    <row r="366" spans="1:14" ht="15" x14ac:dyDescent="0.2">
      <c r="A366" s="50" t="s">
        <v>44</v>
      </c>
      <c r="B366" s="51" t="s">
        <v>329</v>
      </c>
      <c r="C366" s="51"/>
      <c r="D366" s="58" t="s">
        <v>471</v>
      </c>
      <c r="E366" s="53">
        <v>6</v>
      </c>
      <c r="F366" s="9">
        <v>21.33</v>
      </c>
      <c r="G366" s="10">
        <v>22.33</v>
      </c>
      <c r="H366" s="54">
        <f t="shared" si="16"/>
        <v>133.97999999999999</v>
      </c>
      <c r="I366" s="55">
        <v>0</v>
      </c>
      <c r="J366" s="78">
        <f t="shared" si="17"/>
        <v>133.97999999999999</v>
      </c>
      <c r="K366" s="57">
        <f t="shared" si="18"/>
        <v>127.97999999999999</v>
      </c>
    </row>
    <row r="367" spans="1:14" ht="15" x14ac:dyDescent="0.2">
      <c r="A367" s="50" t="s">
        <v>44</v>
      </c>
      <c r="B367" s="51" t="s">
        <v>335</v>
      </c>
      <c r="C367" s="51"/>
      <c r="D367" s="58" t="s">
        <v>477</v>
      </c>
      <c r="E367" s="53">
        <v>192</v>
      </c>
      <c r="F367" s="9">
        <v>7.04</v>
      </c>
      <c r="G367" s="10">
        <v>7.54</v>
      </c>
      <c r="H367" s="54">
        <f t="shared" si="16"/>
        <v>1447.68</v>
      </c>
      <c r="I367" s="55">
        <v>0</v>
      </c>
      <c r="J367" s="78">
        <f t="shared" si="17"/>
        <v>1447.68</v>
      </c>
      <c r="K367" s="57">
        <f t="shared" si="18"/>
        <v>1351.68</v>
      </c>
    </row>
    <row r="368" spans="1:14" ht="15" x14ac:dyDescent="0.2">
      <c r="A368" s="50" t="s">
        <v>44</v>
      </c>
      <c r="B368" s="51" t="s">
        <v>313</v>
      </c>
      <c r="C368" s="51"/>
      <c r="D368" s="58" t="s">
        <v>455</v>
      </c>
      <c r="E368" s="53">
        <v>72</v>
      </c>
      <c r="F368" s="9">
        <v>7.04</v>
      </c>
      <c r="G368" s="10">
        <v>7.54</v>
      </c>
      <c r="H368" s="54">
        <f t="shared" si="16"/>
        <v>542.88</v>
      </c>
      <c r="I368" s="55">
        <v>0</v>
      </c>
      <c r="J368" s="78">
        <f t="shared" si="17"/>
        <v>542.88</v>
      </c>
      <c r="K368" s="57">
        <f t="shared" si="18"/>
        <v>506.88</v>
      </c>
    </row>
    <row r="369" spans="1:14" ht="15" x14ac:dyDescent="0.2">
      <c r="A369" s="50" t="s">
        <v>44</v>
      </c>
      <c r="B369" s="51" t="s">
        <v>314</v>
      </c>
      <c r="C369" s="51"/>
      <c r="D369" s="58" t="s">
        <v>456</v>
      </c>
      <c r="E369" s="53">
        <v>72</v>
      </c>
      <c r="F369" s="9">
        <v>6.88</v>
      </c>
      <c r="G369" s="10">
        <v>7.54</v>
      </c>
      <c r="H369" s="54">
        <f t="shared" si="16"/>
        <v>542.88</v>
      </c>
      <c r="I369" s="55">
        <v>0</v>
      </c>
      <c r="J369" s="78">
        <f t="shared" si="17"/>
        <v>542.88</v>
      </c>
      <c r="K369" s="57">
        <f t="shared" si="18"/>
        <v>495.36</v>
      </c>
    </row>
    <row r="370" spans="1:14" ht="15" x14ac:dyDescent="0.2">
      <c r="A370" s="50" t="s">
        <v>44</v>
      </c>
      <c r="B370" s="51" t="s">
        <v>317</v>
      </c>
      <c r="C370" s="51"/>
      <c r="D370" s="58" t="s">
        <v>459</v>
      </c>
      <c r="E370" s="53">
        <v>78</v>
      </c>
      <c r="F370" s="9">
        <v>59.17</v>
      </c>
      <c r="G370" s="10">
        <v>60</v>
      </c>
      <c r="H370" s="54">
        <f t="shared" si="16"/>
        <v>4680</v>
      </c>
      <c r="I370" s="55">
        <v>0</v>
      </c>
      <c r="J370" s="78">
        <f t="shared" si="17"/>
        <v>4680</v>
      </c>
      <c r="K370" s="57">
        <f t="shared" si="18"/>
        <v>4615.26</v>
      </c>
    </row>
    <row r="371" spans="1:14" ht="15" x14ac:dyDescent="0.2">
      <c r="A371" s="50" t="s">
        <v>44</v>
      </c>
      <c r="B371" s="51" t="s">
        <v>319</v>
      </c>
      <c r="C371" s="51"/>
      <c r="D371" s="58" t="s">
        <v>461</v>
      </c>
      <c r="E371" s="53">
        <v>180</v>
      </c>
      <c r="F371" s="9">
        <v>11.58</v>
      </c>
      <c r="G371" s="10">
        <v>12</v>
      </c>
      <c r="H371" s="54">
        <f t="shared" si="16"/>
        <v>2160</v>
      </c>
      <c r="I371" s="55">
        <v>0</v>
      </c>
      <c r="J371" s="78">
        <f t="shared" si="17"/>
        <v>2160</v>
      </c>
      <c r="K371" s="57">
        <f t="shared" si="18"/>
        <v>2084.4</v>
      </c>
    </row>
    <row r="372" spans="1:14" ht="15" x14ac:dyDescent="0.2">
      <c r="A372" s="50" t="s">
        <v>44</v>
      </c>
      <c r="B372" s="51" t="s">
        <v>331</v>
      </c>
      <c r="C372" s="51"/>
      <c r="D372" s="58" t="s">
        <v>473</v>
      </c>
      <c r="E372" s="53">
        <v>48</v>
      </c>
      <c r="F372" s="9">
        <v>8.7100000000000009</v>
      </c>
      <c r="G372" s="10">
        <v>9.3800000000000008</v>
      </c>
      <c r="H372" s="54">
        <f t="shared" si="16"/>
        <v>450.24</v>
      </c>
      <c r="I372" s="55">
        <v>0</v>
      </c>
      <c r="J372" s="78">
        <f t="shared" si="17"/>
        <v>450.24</v>
      </c>
      <c r="K372" s="57">
        <f t="shared" si="18"/>
        <v>418.08000000000004</v>
      </c>
    </row>
    <row r="373" spans="1:14" ht="15" x14ac:dyDescent="0.2">
      <c r="A373" s="50" t="s">
        <v>44</v>
      </c>
      <c r="B373" s="51" t="s">
        <v>319</v>
      </c>
      <c r="C373" s="51" t="s">
        <v>405</v>
      </c>
      <c r="D373" s="58" t="s">
        <v>461</v>
      </c>
      <c r="E373" s="53">
        <v>12</v>
      </c>
      <c r="F373" s="9">
        <v>11.58</v>
      </c>
      <c r="G373" s="10">
        <v>12</v>
      </c>
      <c r="H373" s="54">
        <f t="shared" si="16"/>
        <v>144</v>
      </c>
      <c r="I373" s="55">
        <v>0</v>
      </c>
      <c r="J373" s="78">
        <f t="shared" si="17"/>
        <v>144</v>
      </c>
      <c r="K373" s="57">
        <f t="shared" si="18"/>
        <v>138.96</v>
      </c>
    </row>
    <row r="374" spans="1:14" ht="15" x14ac:dyDescent="0.2">
      <c r="A374" s="50" t="s">
        <v>44</v>
      </c>
      <c r="B374" s="51" t="s">
        <v>316</v>
      </c>
      <c r="C374" s="51"/>
      <c r="D374" s="58" t="s">
        <v>458</v>
      </c>
      <c r="E374" s="53">
        <v>132</v>
      </c>
      <c r="F374" s="9">
        <v>15.92</v>
      </c>
      <c r="G374" s="10">
        <v>16.329999999999998</v>
      </c>
      <c r="H374" s="54">
        <f t="shared" si="16"/>
        <v>2155.56</v>
      </c>
      <c r="I374" s="55">
        <v>0</v>
      </c>
      <c r="J374" s="78">
        <f t="shared" si="17"/>
        <v>2155.56</v>
      </c>
      <c r="K374" s="57">
        <f t="shared" si="18"/>
        <v>2101.44</v>
      </c>
    </row>
    <row r="375" spans="1:14" ht="15" x14ac:dyDescent="0.2">
      <c r="A375" s="50" t="s">
        <v>44</v>
      </c>
      <c r="B375" s="51" t="s">
        <v>322</v>
      </c>
      <c r="C375" s="51"/>
      <c r="D375" s="58" t="s">
        <v>464</v>
      </c>
      <c r="E375" s="53">
        <v>24</v>
      </c>
      <c r="F375" s="9">
        <v>15.92</v>
      </c>
      <c r="G375" s="10">
        <v>16.329999999999998</v>
      </c>
      <c r="H375" s="54">
        <f t="shared" si="16"/>
        <v>391.91999999999996</v>
      </c>
      <c r="I375" s="55">
        <v>0</v>
      </c>
      <c r="J375" s="78">
        <f t="shared" si="17"/>
        <v>391.91999999999996</v>
      </c>
      <c r="K375" s="57">
        <f t="shared" si="18"/>
        <v>382.08</v>
      </c>
    </row>
    <row r="376" spans="1:14" ht="15" x14ac:dyDescent="0.2">
      <c r="A376" s="50" t="s">
        <v>44</v>
      </c>
      <c r="B376" s="51" t="s">
        <v>323</v>
      </c>
      <c r="C376" s="51"/>
      <c r="D376" s="58" t="s">
        <v>465</v>
      </c>
      <c r="E376" s="53">
        <v>24</v>
      </c>
      <c r="F376" s="9">
        <v>15.92</v>
      </c>
      <c r="G376" s="10">
        <v>16.329999999999998</v>
      </c>
      <c r="H376" s="54">
        <f t="shared" si="16"/>
        <v>391.91999999999996</v>
      </c>
      <c r="I376" s="55">
        <v>0</v>
      </c>
      <c r="J376" s="78">
        <f t="shared" si="17"/>
        <v>391.91999999999996</v>
      </c>
      <c r="K376" s="57">
        <f t="shared" si="18"/>
        <v>382.08</v>
      </c>
    </row>
    <row r="377" spans="1:14" ht="15" x14ac:dyDescent="0.2">
      <c r="A377" s="50" t="s">
        <v>44</v>
      </c>
      <c r="B377" s="51" t="s">
        <v>331</v>
      </c>
      <c r="C377" s="51"/>
      <c r="D377" s="58" t="s">
        <v>473</v>
      </c>
      <c r="E377" s="53">
        <v>24</v>
      </c>
      <c r="F377" s="9">
        <v>8.7100000000000009</v>
      </c>
      <c r="G377" s="10">
        <v>9.3800000000000008</v>
      </c>
      <c r="H377" s="54">
        <f t="shared" si="16"/>
        <v>225.12</v>
      </c>
      <c r="I377" s="55">
        <v>0</v>
      </c>
      <c r="J377" s="78">
        <f t="shared" si="17"/>
        <v>225.12</v>
      </c>
      <c r="K377" s="57">
        <f t="shared" si="18"/>
        <v>209.04000000000002</v>
      </c>
    </row>
    <row r="378" spans="1:14" ht="15" x14ac:dyDescent="0.2">
      <c r="A378" s="50" t="s">
        <v>44</v>
      </c>
      <c r="B378" s="51" t="s">
        <v>317</v>
      </c>
      <c r="C378" s="51"/>
      <c r="D378" s="58" t="s">
        <v>459</v>
      </c>
      <c r="E378" s="53">
        <v>14</v>
      </c>
      <c r="F378" s="9">
        <v>59.17</v>
      </c>
      <c r="G378" s="10">
        <v>60</v>
      </c>
      <c r="H378" s="54">
        <f t="shared" si="16"/>
        <v>840</v>
      </c>
      <c r="I378" s="55">
        <v>0</v>
      </c>
      <c r="J378" s="78">
        <f t="shared" si="17"/>
        <v>840</v>
      </c>
      <c r="K378" s="57">
        <f t="shared" si="18"/>
        <v>828.38</v>
      </c>
    </row>
    <row r="379" spans="1:14" ht="15" x14ac:dyDescent="0.2">
      <c r="A379" s="50" t="s">
        <v>44</v>
      </c>
      <c r="B379" s="51" t="s">
        <v>318</v>
      </c>
      <c r="C379" s="51"/>
      <c r="D379" s="58" t="s">
        <v>460</v>
      </c>
      <c r="E379" s="53">
        <v>1</v>
      </c>
      <c r="F379" s="9">
        <v>59.17</v>
      </c>
      <c r="G379" s="10">
        <v>60</v>
      </c>
      <c r="H379" s="54">
        <f t="shared" si="16"/>
        <v>60</v>
      </c>
      <c r="I379" s="55">
        <v>0</v>
      </c>
      <c r="J379" s="78">
        <f t="shared" si="17"/>
        <v>60</v>
      </c>
      <c r="K379" s="57">
        <f t="shared" si="18"/>
        <v>59.17</v>
      </c>
    </row>
    <row r="380" spans="1:14" ht="15" x14ac:dyDescent="0.2">
      <c r="A380" s="50" t="s">
        <v>44</v>
      </c>
      <c r="B380" s="51" t="s">
        <v>335</v>
      </c>
      <c r="C380" s="51"/>
      <c r="D380" s="58" t="s">
        <v>477</v>
      </c>
      <c r="E380" s="53">
        <v>192</v>
      </c>
      <c r="F380" s="9">
        <v>7.04</v>
      </c>
      <c r="G380" s="10">
        <v>7.54</v>
      </c>
      <c r="H380" s="54">
        <f t="shared" si="16"/>
        <v>1447.68</v>
      </c>
      <c r="I380" s="55">
        <v>0</v>
      </c>
      <c r="J380" s="78">
        <f t="shared" si="17"/>
        <v>1447.68</v>
      </c>
      <c r="K380" s="57">
        <f t="shared" si="18"/>
        <v>1351.68</v>
      </c>
    </row>
    <row r="381" spans="1:14" ht="15" x14ac:dyDescent="0.2">
      <c r="A381" s="50" t="s">
        <v>44</v>
      </c>
      <c r="B381" s="51" t="s">
        <v>313</v>
      </c>
      <c r="C381" s="51"/>
      <c r="D381" s="58" t="s">
        <v>455</v>
      </c>
      <c r="E381" s="53">
        <v>42</v>
      </c>
      <c r="F381" s="9">
        <v>7.04</v>
      </c>
      <c r="G381" s="10">
        <v>7.54</v>
      </c>
      <c r="H381" s="54">
        <f t="shared" si="16"/>
        <v>316.68</v>
      </c>
      <c r="I381" s="55">
        <v>0</v>
      </c>
      <c r="J381" s="78">
        <f t="shared" si="17"/>
        <v>316.68</v>
      </c>
      <c r="K381" s="57">
        <f t="shared" si="18"/>
        <v>295.68</v>
      </c>
    </row>
    <row r="382" spans="1:14" ht="15" x14ac:dyDescent="0.2">
      <c r="A382" s="50" t="s">
        <v>44</v>
      </c>
      <c r="B382" s="51" t="s">
        <v>314</v>
      </c>
      <c r="C382" s="51"/>
      <c r="D382" s="58" t="s">
        <v>456</v>
      </c>
      <c r="E382" s="53">
        <v>30</v>
      </c>
      <c r="F382" s="9">
        <v>6.88</v>
      </c>
      <c r="G382" s="10">
        <v>7.54</v>
      </c>
      <c r="H382" s="54">
        <f t="shared" si="16"/>
        <v>226.2</v>
      </c>
      <c r="I382" s="55">
        <v>0</v>
      </c>
      <c r="J382" s="78">
        <f t="shared" si="17"/>
        <v>226.2</v>
      </c>
      <c r="K382" s="57">
        <f t="shared" si="18"/>
        <v>206.4</v>
      </c>
      <c r="L382" s="2">
        <v>20658.240000000002</v>
      </c>
      <c r="M382" s="2">
        <v>20887</v>
      </c>
      <c r="N382" s="22">
        <f>M382-L382</f>
        <v>228.7599999999984</v>
      </c>
    </row>
    <row r="383" spans="1:14" ht="15" x14ac:dyDescent="0.2">
      <c r="A383" s="50" t="s">
        <v>45</v>
      </c>
      <c r="B383" s="51" t="s">
        <v>317</v>
      </c>
      <c r="C383" s="51" t="s">
        <v>406</v>
      </c>
      <c r="D383" s="58" t="s">
        <v>459</v>
      </c>
      <c r="E383" s="53">
        <v>120</v>
      </c>
      <c r="F383" s="9">
        <v>59.17</v>
      </c>
      <c r="G383" s="10">
        <v>60</v>
      </c>
      <c r="H383" s="54">
        <f t="shared" si="16"/>
        <v>7200</v>
      </c>
      <c r="I383" s="55">
        <v>0</v>
      </c>
      <c r="J383" s="80">
        <f t="shared" si="17"/>
        <v>7200</v>
      </c>
      <c r="K383" s="57">
        <f t="shared" si="18"/>
        <v>7100.4000000000005</v>
      </c>
    </row>
    <row r="384" spans="1:14" ht="15" x14ac:dyDescent="0.2">
      <c r="A384" s="50" t="s">
        <v>45</v>
      </c>
      <c r="B384" s="51" t="s">
        <v>330</v>
      </c>
      <c r="C384" s="51"/>
      <c r="D384" s="58" t="s">
        <v>472</v>
      </c>
      <c r="E384" s="53">
        <v>24</v>
      </c>
      <c r="F384" s="9">
        <v>58.67</v>
      </c>
      <c r="G384" s="10">
        <v>60</v>
      </c>
      <c r="H384" s="54">
        <f t="shared" si="16"/>
        <v>1440</v>
      </c>
      <c r="I384" s="55">
        <v>0</v>
      </c>
      <c r="J384" s="80">
        <f t="shared" si="17"/>
        <v>1440</v>
      </c>
      <c r="K384" s="57">
        <f t="shared" si="18"/>
        <v>1408.08</v>
      </c>
    </row>
    <row r="385" spans="1:17" ht="15" x14ac:dyDescent="0.2">
      <c r="A385" s="50" t="s">
        <v>45</v>
      </c>
      <c r="B385" s="51" t="s">
        <v>318</v>
      </c>
      <c r="C385" s="51"/>
      <c r="D385" s="58" t="s">
        <v>460</v>
      </c>
      <c r="E385" s="53">
        <v>12</v>
      </c>
      <c r="F385" s="9">
        <v>59.17</v>
      </c>
      <c r="G385" s="10">
        <v>60</v>
      </c>
      <c r="H385" s="54">
        <f t="shared" si="16"/>
        <v>720</v>
      </c>
      <c r="I385" s="55">
        <v>0</v>
      </c>
      <c r="J385" s="80">
        <f t="shared" si="17"/>
        <v>720</v>
      </c>
      <c r="K385" s="57">
        <f t="shared" si="18"/>
        <v>710.04</v>
      </c>
      <c r="N385" s="59"/>
    </row>
    <row r="386" spans="1:17" ht="15" x14ac:dyDescent="0.2">
      <c r="A386" s="50" t="s">
        <v>45</v>
      </c>
      <c r="B386" s="51" t="s">
        <v>316</v>
      </c>
      <c r="C386" s="51"/>
      <c r="D386" s="58" t="s">
        <v>458</v>
      </c>
      <c r="E386" s="53">
        <v>300</v>
      </c>
      <c r="F386" s="9">
        <v>15.92</v>
      </c>
      <c r="G386" s="10">
        <v>16.329999999999998</v>
      </c>
      <c r="H386" s="54">
        <f t="shared" si="16"/>
        <v>4898.9999999999991</v>
      </c>
      <c r="I386" s="55">
        <v>0</v>
      </c>
      <c r="J386" s="80">
        <f t="shared" si="17"/>
        <v>4898.9999999999991</v>
      </c>
      <c r="K386" s="57">
        <f t="shared" si="18"/>
        <v>4776</v>
      </c>
    </row>
    <row r="387" spans="1:17" ht="15" x14ac:dyDescent="0.2">
      <c r="A387" s="50" t="s">
        <v>45</v>
      </c>
      <c r="B387" s="51" t="s">
        <v>322</v>
      </c>
      <c r="C387" s="51"/>
      <c r="D387" s="58" t="s">
        <v>464</v>
      </c>
      <c r="E387" s="53">
        <v>96</v>
      </c>
      <c r="F387" s="9">
        <v>15.92</v>
      </c>
      <c r="G387" s="10">
        <v>16.329999999999998</v>
      </c>
      <c r="H387" s="54">
        <f t="shared" si="16"/>
        <v>1567.6799999999998</v>
      </c>
      <c r="I387" s="55">
        <v>0</v>
      </c>
      <c r="J387" s="80">
        <f t="shared" si="17"/>
        <v>1567.6799999999998</v>
      </c>
      <c r="K387" s="57">
        <f t="shared" si="18"/>
        <v>1528.32</v>
      </c>
    </row>
    <row r="388" spans="1:17" ht="15" x14ac:dyDescent="0.2">
      <c r="A388" s="50" t="s">
        <v>45</v>
      </c>
      <c r="B388" s="51" t="s">
        <v>323</v>
      </c>
      <c r="C388" s="51"/>
      <c r="D388" s="58" t="s">
        <v>465</v>
      </c>
      <c r="E388" s="53">
        <v>60</v>
      </c>
      <c r="F388" s="9">
        <v>15.92</v>
      </c>
      <c r="G388" s="10">
        <v>16.329999999999998</v>
      </c>
      <c r="H388" s="54">
        <f t="shared" si="16"/>
        <v>979.8</v>
      </c>
      <c r="I388" s="55">
        <v>0</v>
      </c>
      <c r="J388" s="80">
        <f t="shared" si="17"/>
        <v>979.8</v>
      </c>
      <c r="K388" s="57">
        <f t="shared" si="18"/>
        <v>955.2</v>
      </c>
    </row>
    <row r="389" spans="1:17" ht="15" x14ac:dyDescent="0.2">
      <c r="A389" s="50" t="s">
        <v>45</v>
      </c>
      <c r="B389" s="51" t="s">
        <v>319</v>
      </c>
      <c r="C389" s="51"/>
      <c r="D389" s="58" t="s">
        <v>461</v>
      </c>
      <c r="E389" s="53">
        <v>180</v>
      </c>
      <c r="F389" s="9">
        <v>11.58</v>
      </c>
      <c r="G389" s="10">
        <v>12</v>
      </c>
      <c r="H389" s="54">
        <f t="shared" si="16"/>
        <v>2160</v>
      </c>
      <c r="I389" s="55">
        <v>0</v>
      </c>
      <c r="J389" s="80">
        <f t="shared" si="17"/>
        <v>2160</v>
      </c>
      <c r="K389" s="57">
        <f t="shared" si="18"/>
        <v>2084.4</v>
      </c>
      <c r="Q389" s="19">
        <v>1.52</v>
      </c>
    </row>
    <row r="390" spans="1:17" ht="15" x14ac:dyDescent="0.2">
      <c r="A390" s="50" t="s">
        <v>45</v>
      </c>
      <c r="B390" s="51" t="s">
        <v>320</v>
      </c>
      <c r="C390" s="51"/>
      <c r="D390" s="58" t="s">
        <v>462</v>
      </c>
      <c r="E390" s="53">
        <v>60</v>
      </c>
      <c r="F390" s="9">
        <v>11.58</v>
      </c>
      <c r="G390" s="10">
        <v>12</v>
      </c>
      <c r="H390" s="54">
        <f t="shared" ref="H390:H453" si="19">E390*G390</f>
        <v>720</v>
      </c>
      <c r="I390" s="55">
        <v>0</v>
      </c>
      <c r="J390" s="80">
        <f t="shared" ref="J390:J453" si="20">(G390*E390)-I390</f>
        <v>720</v>
      </c>
      <c r="K390" s="57">
        <f t="shared" ref="K390:K453" si="21">E390*F390</f>
        <v>694.8</v>
      </c>
      <c r="Q390" s="19">
        <v>0.2</v>
      </c>
    </row>
    <row r="391" spans="1:17" ht="15" x14ac:dyDescent="0.2">
      <c r="A391" s="50" t="s">
        <v>45</v>
      </c>
      <c r="B391" s="51" t="s">
        <v>336</v>
      </c>
      <c r="C391" s="51"/>
      <c r="D391" s="58" t="s">
        <v>478</v>
      </c>
      <c r="E391" s="53">
        <v>60</v>
      </c>
      <c r="F391" s="9">
        <v>11.58</v>
      </c>
      <c r="G391" s="10">
        <v>12</v>
      </c>
      <c r="H391" s="54">
        <f t="shared" si="19"/>
        <v>720</v>
      </c>
      <c r="I391" s="55">
        <v>0</v>
      </c>
      <c r="J391" s="80">
        <f t="shared" si="20"/>
        <v>720</v>
      </c>
      <c r="K391" s="57">
        <f t="shared" si="21"/>
        <v>694.8</v>
      </c>
    </row>
    <row r="392" spans="1:17" ht="15" x14ac:dyDescent="0.2">
      <c r="A392" s="50" t="s">
        <v>45</v>
      </c>
      <c r="B392" s="51" t="s">
        <v>316</v>
      </c>
      <c r="C392" s="51" t="s">
        <v>407</v>
      </c>
      <c r="D392" s="58" t="s">
        <v>458</v>
      </c>
      <c r="E392" s="53">
        <v>36</v>
      </c>
      <c r="F392" s="9">
        <v>15.92</v>
      </c>
      <c r="G392" s="10">
        <v>16.329999999999998</v>
      </c>
      <c r="H392" s="54">
        <f t="shared" si="19"/>
        <v>587.87999999999988</v>
      </c>
      <c r="I392" s="55">
        <v>0</v>
      </c>
      <c r="J392" s="80">
        <f t="shared" si="20"/>
        <v>587.87999999999988</v>
      </c>
      <c r="K392" s="57">
        <f t="shared" si="21"/>
        <v>573.12</v>
      </c>
    </row>
    <row r="393" spans="1:17" ht="15" x14ac:dyDescent="0.2">
      <c r="A393" s="50" t="s">
        <v>45</v>
      </c>
      <c r="B393" s="51" t="s">
        <v>322</v>
      </c>
      <c r="C393" s="51"/>
      <c r="D393" s="58" t="s">
        <v>464</v>
      </c>
      <c r="E393" s="53">
        <v>12</v>
      </c>
      <c r="F393" s="9">
        <v>15.92</v>
      </c>
      <c r="G393" s="10">
        <v>16.329999999999998</v>
      </c>
      <c r="H393" s="54">
        <f t="shared" si="19"/>
        <v>195.95999999999998</v>
      </c>
      <c r="I393" s="55">
        <v>0</v>
      </c>
      <c r="J393" s="80">
        <f t="shared" si="20"/>
        <v>195.95999999999998</v>
      </c>
      <c r="K393" s="57">
        <f t="shared" si="21"/>
        <v>191.04</v>
      </c>
    </row>
    <row r="394" spans="1:17" ht="15" x14ac:dyDescent="0.2">
      <c r="A394" s="50" t="s">
        <v>45</v>
      </c>
      <c r="B394" s="51" t="s">
        <v>323</v>
      </c>
      <c r="C394" s="51"/>
      <c r="D394" s="58" t="s">
        <v>465</v>
      </c>
      <c r="E394" s="53">
        <v>12</v>
      </c>
      <c r="F394" s="9">
        <v>15.92</v>
      </c>
      <c r="G394" s="10">
        <v>16.329999999999998</v>
      </c>
      <c r="H394" s="54">
        <f t="shared" si="19"/>
        <v>195.95999999999998</v>
      </c>
      <c r="I394" s="55">
        <v>0</v>
      </c>
      <c r="J394" s="80">
        <f t="shared" si="20"/>
        <v>195.95999999999998</v>
      </c>
      <c r="K394" s="57">
        <f t="shared" si="21"/>
        <v>191.04</v>
      </c>
      <c r="Q394" s="19">
        <v>481.48</v>
      </c>
    </row>
    <row r="395" spans="1:17" ht="15" x14ac:dyDescent="0.2">
      <c r="A395" s="50" t="s">
        <v>45</v>
      </c>
      <c r="B395" s="51" t="s">
        <v>335</v>
      </c>
      <c r="C395" s="51" t="s">
        <v>408</v>
      </c>
      <c r="D395" s="58" t="s">
        <v>477</v>
      </c>
      <c r="E395" s="53">
        <v>120</v>
      </c>
      <c r="F395" s="9">
        <v>7.04</v>
      </c>
      <c r="G395" s="10">
        <v>7.54</v>
      </c>
      <c r="H395" s="54">
        <f t="shared" si="19"/>
        <v>904.8</v>
      </c>
      <c r="I395" s="55">
        <v>0</v>
      </c>
      <c r="J395" s="80">
        <f t="shared" si="20"/>
        <v>904.8</v>
      </c>
      <c r="K395" s="57">
        <f t="shared" si="21"/>
        <v>844.8</v>
      </c>
      <c r="Q395" s="19">
        <v>105.32</v>
      </c>
    </row>
    <row r="396" spans="1:17" ht="15" x14ac:dyDescent="0.2">
      <c r="A396" s="50" t="s">
        <v>45</v>
      </c>
      <c r="B396" s="51" t="s">
        <v>313</v>
      </c>
      <c r="C396" s="51"/>
      <c r="D396" s="58" t="s">
        <v>455</v>
      </c>
      <c r="E396" s="53">
        <v>24</v>
      </c>
      <c r="F396" s="9">
        <v>7.04</v>
      </c>
      <c r="G396" s="10">
        <v>7.54</v>
      </c>
      <c r="H396" s="54">
        <f t="shared" si="19"/>
        <v>180.96</v>
      </c>
      <c r="I396" s="55">
        <v>0</v>
      </c>
      <c r="J396" s="80">
        <f t="shared" si="20"/>
        <v>180.96</v>
      </c>
      <c r="K396" s="57">
        <f t="shared" si="21"/>
        <v>168.96</v>
      </c>
      <c r="Q396" s="19">
        <v>0.52</v>
      </c>
    </row>
    <row r="397" spans="1:17" ht="15" x14ac:dyDescent="0.2">
      <c r="A397" s="50" t="s">
        <v>45</v>
      </c>
      <c r="B397" s="51" t="s">
        <v>326</v>
      </c>
      <c r="C397" s="51"/>
      <c r="D397" s="58" t="s">
        <v>468</v>
      </c>
      <c r="E397" s="53">
        <v>24</v>
      </c>
      <c r="F397" s="9">
        <v>7.04</v>
      </c>
      <c r="G397" s="10">
        <v>7.54</v>
      </c>
      <c r="H397" s="54">
        <f t="shared" si="19"/>
        <v>180.96</v>
      </c>
      <c r="I397" s="55">
        <v>0</v>
      </c>
      <c r="J397" s="80">
        <f t="shared" si="20"/>
        <v>180.96</v>
      </c>
      <c r="K397" s="57">
        <f t="shared" si="21"/>
        <v>168.96</v>
      </c>
      <c r="Q397" s="19">
        <v>135.36000000000001</v>
      </c>
    </row>
    <row r="398" spans="1:17" ht="15" x14ac:dyDescent="0.2">
      <c r="A398" s="50" t="s">
        <v>45</v>
      </c>
      <c r="B398" s="51" t="s">
        <v>316</v>
      </c>
      <c r="C398" s="51"/>
      <c r="D398" s="58" t="s">
        <v>458</v>
      </c>
      <c r="E398" s="53">
        <v>12</v>
      </c>
      <c r="F398" s="9">
        <v>15.92</v>
      </c>
      <c r="G398" s="10">
        <v>16.329999999999998</v>
      </c>
      <c r="H398" s="54">
        <f t="shared" si="19"/>
        <v>195.95999999999998</v>
      </c>
      <c r="I398" s="55">
        <v>0</v>
      </c>
      <c r="J398" s="80">
        <f t="shared" si="20"/>
        <v>195.95999999999998</v>
      </c>
      <c r="K398" s="57">
        <f t="shared" si="21"/>
        <v>191.04</v>
      </c>
      <c r="Q398" s="19">
        <v>45.12</v>
      </c>
    </row>
    <row r="399" spans="1:17" ht="15" x14ac:dyDescent="0.2">
      <c r="A399" s="50" t="s">
        <v>45</v>
      </c>
      <c r="B399" s="51" t="s">
        <v>319</v>
      </c>
      <c r="C399" s="51"/>
      <c r="D399" s="58" t="s">
        <v>461</v>
      </c>
      <c r="E399" s="53">
        <v>12</v>
      </c>
      <c r="F399" s="9">
        <v>11.58</v>
      </c>
      <c r="G399" s="10">
        <v>12</v>
      </c>
      <c r="H399" s="54">
        <f t="shared" si="19"/>
        <v>144</v>
      </c>
      <c r="I399" s="55">
        <v>0</v>
      </c>
      <c r="J399" s="80">
        <f t="shared" si="20"/>
        <v>144</v>
      </c>
      <c r="K399" s="57">
        <f t="shared" si="21"/>
        <v>138.96</v>
      </c>
      <c r="Q399" s="19">
        <v>978.92</v>
      </c>
    </row>
    <row r="400" spans="1:17" ht="15" x14ac:dyDescent="0.2">
      <c r="A400" s="50" t="s">
        <v>45</v>
      </c>
      <c r="B400" s="51" t="s">
        <v>319</v>
      </c>
      <c r="C400" s="51" t="s">
        <v>409</v>
      </c>
      <c r="D400" s="58" t="s">
        <v>461</v>
      </c>
      <c r="E400" s="53">
        <v>72</v>
      </c>
      <c r="F400" s="9">
        <v>11.58</v>
      </c>
      <c r="G400" s="10">
        <v>12</v>
      </c>
      <c r="H400" s="54">
        <f t="shared" si="19"/>
        <v>864</v>
      </c>
      <c r="I400" s="55">
        <v>0</v>
      </c>
      <c r="J400" s="80">
        <f t="shared" si="20"/>
        <v>864</v>
      </c>
      <c r="K400" s="57">
        <f t="shared" si="21"/>
        <v>833.76</v>
      </c>
    </row>
    <row r="401" spans="1:17" ht="15" x14ac:dyDescent="0.2">
      <c r="A401" s="50" t="s">
        <v>45</v>
      </c>
      <c r="B401" s="51" t="s">
        <v>320</v>
      </c>
      <c r="C401" s="51"/>
      <c r="D401" s="58" t="s">
        <v>462</v>
      </c>
      <c r="E401" s="53">
        <v>24</v>
      </c>
      <c r="F401" s="9">
        <v>11.58</v>
      </c>
      <c r="G401" s="10">
        <v>12</v>
      </c>
      <c r="H401" s="54">
        <f t="shared" si="19"/>
        <v>288</v>
      </c>
      <c r="I401" s="55">
        <v>0</v>
      </c>
      <c r="J401" s="80">
        <f t="shared" si="20"/>
        <v>288</v>
      </c>
      <c r="K401" s="57">
        <f t="shared" si="21"/>
        <v>277.92</v>
      </c>
    </row>
    <row r="402" spans="1:17" ht="15" x14ac:dyDescent="0.2">
      <c r="A402" s="50" t="s">
        <v>45</v>
      </c>
      <c r="B402" s="51" t="s">
        <v>336</v>
      </c>
      <c r="C402" s="51"/>
      <c r="D402" s="58" t="s">
        <v>478</v>
      </c>
      <c r="E402" s="53">
        <v>24</v>
      </c>
      <c r="F402" s="9">
        <v>11.58</v>
      </c>
      <c r="G402" s="10">
        <v>12</v>
      </c>
      <c r="H402" s="54">
        <f t="shared" si="19"/>
        <v>288</v>
      </c>
      <c r="I402" s="55">
        <v>0</v>
      </c>
      <c r="J402" s="80">
        <f t="shared" si="20"/>
        <v>288</v>
      </c>
      <c r="K402" s="57">
        <f t="shared" si="21"/>
        <v>277.92</v>
      </c>
    </row>
    <row r="403" spans="1:17" ht="15" x14ac:dyDescent="0.2">
      <c r="A403" s="50" t="s">
        <v>45</v>
      </c>
      <c r="B403" s="51" t="s">
        <v>316</v>
      </c>
      <c r="C403" s="51" t="s">
        <v>410</v>
      </c>
      <c r="D403" s="58" t="s">
        <v>458</v>
      </c>
      <c r="E403" s="53">
        <v>72</v>
      </c>
      <c r="F403" s="9">
        <v>15.92</v>
      </c>
      <c r="G403" s="10">
        <v>16.329999999999998</v>
      </c>
      <c r="H403" s="54">
        <f t="shared" si="19"/>
        <v>1175.7599999999998</v>
      </c>
      <c r="I403" s="55">
        <v>0</v>
      </c>
      <c r="J403" s="80">
        <f t="shared" si="20"/>
        <v>1175.7599999999998</v>
      </c>
      <c r="K403" s="57">
        <f t="shared" si="21"/>
        <v>1146.24</v>
      </c>
      <c r="Q403" s="19">
        <v>0.12</v>
      </c>
    </row>
    <row r="404" spans="1:17" ht="15" x14ac:dyDescent="0.2">
      <c r="A404" s="50" t="s">
        <v>45</v>
      </c>
      <c r="B404" s="51" t="s">
        <v>322</v>
      </c>
      <c r="C404" s="51"/>
      <c r="D404" s="58" t="s">
        <v>464</v>
      </c>
      <c r="E404" s="53">
        <v>24</v>
      </c>
      <c r="F404" s="9">
        <v>15.92</v>
      </c>
      <c r="G404" s="10">
        <v>16.329999999999998</v>
      </c>
      <c r="H404" s="54">
        <f t="shared" si="19"/>
        <v>391.91999999999996</v>
      </c>
      <c r="I404" s="55">
        <v>0</v>
      </c>
      <c r="J404" s="80">
        <f t="shared" si="20"/>
        <v>391.91999999999996</v>
      </c>
      <c r="K404" s="57">
        <f t="shared" si="21"/>
        <v>382.08</v>
      </c>
      <c r="Q404" s="19">
        <v>18.98</v>
      </c>
    </row>
    <row r="405" spans="1:17" ht="15" x14ac:dyDescent="0.2">
      <c r="A405" s="50" t="s">
        <v>45</v>
      </c>
      <c r="B405" s="51" t="s">
        <v>323</v>
      </c>
      <c r="C405" s="51"/>
      <c r="D405" s="58" t="s">
        <v>465</v>
      </c>
      <c r="E405" s="53">
        <v>24</v>
      </c>
      <c r="F405" s="9">
        <v>15.92</v>
      </c>
      <c r="G405" s="10">
        <v>16.329999999999998</v>
      </c>
      <c r="H405" s="54">
        <f t="shared" si="19"/>
        <v>391.91999999999996</v>
      </c>
      <c r="I405" s="55">
        <v>0</v>
      </c>
      <c r="J405" s="80">
        <f t="shared" si="20"/>
        <v>391.91999999999996</v>
      </c>
      <c r="K405" s="57">
        <f t="shared" si="21"/>
        <v>382.08</v>
      </c>
    </row>
    <row r="406" spans="1:17" ht="15" x14ac:dyDescent="0.2">
      <c r="A406" s="50" t="s">
        <v>45</v>
      </c>
      <c r="B406" s="51" t="s">
        <v>319</v>
      </c>
      <c r="C406" s="51"/>
      <c r="D406" s="58" t="s">
        <v>461</v>
      </c>
      <c r="E406" s="53">
        <v>24</v>
      </c>
      <c r="F406" s="9">
        <v>11.58</v>
      </c>
      <c r="G406" s="10">
        <v>12</v>
      </c>
      <c r="H406" s="54">
        <f t="shared" si="19"/>
        <v>288</v>
      </c>
      <c r="I406" s="55">
        <v>0</v>
      </c>
      <c r="J406" s="80">
        <f t="shared" si="20"/>
        <v>288</v>
      </c>
      <c r="K406" s="57">
        <f t="shared" si="21"/>
        <v>277.92</v>
      </c>
      <c r="N406" s="59"/>
    </row>
    <row r="407" spans="1:17" ht="15" x14ac:dyDescent="0.2">
      <c r="A407" s="50" t="s">
        <v>45</v>
      </c>
      <c r="B407" s="51" t="s">
        <v>320</v>
      </c>
      <c r="C407" s="51"/>
      <c r="D407" s="58" t="s">
        <v>462</v>
      </c>
      <c r="E407" s="53">
        <v>12</v>
      </c>
      <c r="F407" s="9">
        <v>11.58</v>
      </c>
      <c r="G407" s="10">
        <v>12</v>
      </c>
      <c r="H407" s="54">
        <f t="shared" si="19"/>
        <v>144</v>
      </c>
      <c r="I407" s="55">
        <v>0</v>
      </c>
      <c r="J407" s="80">
        <f t="shared" si="20"/>
        <v>144</v>
      </c>
      <c r="K407" s="57">
        <f t="shared" si="21"/>
        <v>138.96</v>
      </c>
    </row>
    <row r="408" spans="1:17" ht="15" x14ac:dyDescent="0.2">
      <c r="A408" s="50" t="s">
        <v>45</v>
      </c>
      <c r="B408" s="51" t="s">
        <v>336</v>
      </c>
      <c r="C408" s="51"/>
      <c r="D408" s="58" t="s">
        <v>478</v>
      </c>
      <c r="E408" s="53">
        <v>12</v>
      </c>
      <c r="F408" s="9">
        <v>11.58</v>
      </c>
      <c r="G408" s="10">
        <v>12</v>
      </c>
      <c r="H408" s="54">
        <f t="shared" si="19"/>
        <v>144</v>
      </c>
      <c r="I408" s="55">
        <v>0</v>
      </c>
      <c r="J408" s="80">
        <f t="shared" si="20"/>
        <v>144</v>
      </c>
      <c r="K408" s="57">
        <f t="shared" si="21"/>
        <v>138.96</v>
      </c>
    </row>
    <row r="409" spans="1:17" ht="15" x14ac:dyDescent="0.2">
      <c r="A409" s="50" t="s">
        <v>45</v>
      </c>
      <c r="B409" s="51" t="s">
        <v>317</v>
      </c>
      <c r="C409" s="51"/>
      <c r="D409" s="58" t="s">
        <v>459</v>
      </c>
      <c r="E409" s="53">
        <v>24</v>
      </c>
      <c r="F409" s="9">
        <v>59.17</v>
      </c>
      <c r="G409" s="10">
        <v>60</v>
      </c>
      <c r="H409" s="54">
        <f t="shared" si="19"/>
        <v>1440</v>
      </c>
      <c r="I409" s="55">
        <v>0</v>
      </c>
      <c r="J409" s="80">
        <f t="shared" si="20"/>
        <v>1440</v>
      </c>
      <c r="K409" s="57">
        <f t="shared" si="21"/>
        <v>1420.08</v>
      </c>
    </row>
    <row r="410" spans="1:17" ht="15" x14ac:dyDescent="0.2">
      <c r="A410" s="50" t="s">
        <v>45</v>
      </c>
      <c r="B410" s="51" t="s">
        <v>309</v>
      </c>
      <c r="C410" s="51"/>
      <c r="D410" s="58" t="s">
        <v>451</v>
      </c>
      <c r="E410" s="53">
        <v>12</v>
      </c>
      <c r="F410" s="9">
        <v>36</v>
      </c>
      <c r="G410" s="10">
        <v>37.33</v>
      </c>
      <c r="H410" s="54">
        <f t="shared" si="19"/>
        <v>447.96</v>
      </c>
      <c r="I410" s="55">
        <v>0</v>
      </c>
      <c r="J410" s="80">
        <f t="shared" si="20"/>
        <v>447.96</v>
      </c>
      <c r="K410" s="57">
        <f t="shared" si="21"/>
        <v>432</v>
      </c>
    </row>
    <row r="411" spans="1:17" ht="15" x14ac:dyDescent="0.2">
      <c r="A411" s="50" t="s">
        <v>45</v>
      </c>
      <c r="B411" s="51" t="s">
        <v>310</v>
      </c>
      <c r="C411" s="51"/>
      <c r="D411" s="58" t="s">
        <v>452</v>
      </c>
      <c r="E411" s="53">
        <v>12</v>
      </c>
      <c r="F411" s="9">
        <v>36</v>
      </c>
      <c r="G411" s="10">
        <v>37.33</v>
      </c>
      <c r="H411" s="54">
        <f t="shared" si="19"/>
        <v>447.96</v>
      </c>
      <c r="I411" s="55">
        <v>0</v>
      </c>
      <c r="J411" s="80">
        <f t="shared" si="20"/>
        <v>447.96</v>
      </c>
      <c r="K411" s="57">
        <f t="shared" si="21"/>
        <v>432</v>
      </c>
    </row>
    <row r="412" spans="1:17" ht="15" x14ac:dyDescent="0.2">
      <c r="A412" s="50" t="s">
        <v>45</v>
      </c>
      <c r="B412" s="51" t="s">
        <v>311</v>
      </c>
      <c r="C412" s="51"/>
      <c r="D412" s="58" t="s">
        <v>453</v>
      </c>
      <c r="E412" s="53">
        <v>12</v>
      </c>
      <c r="F412" s="9">
        <v>36.5</v>
      </c>
      <c r="G412" s="10">
        <v>37.33</v>
      </c>
      <c r="H412" s="54">
        <f t="shared" si="19"/>
        <v>447.96</v>
      </c>
      <c r="I412" s="55">
        <v>0</v>
      </c>
      <c r="J412" s="80">
        <f t="shared" si="20"/>
        <v>447.96</v>
      </c>
      <c r="K412" s="57">
        <f t="shared" si="21"/>
        <v>438</v>
      </c>
    </row>
    <row r="413" spans="1:17" ht="15" x14ac:dyDescent="0.2">
      <c r="A413" s="50" t="s">
        <v>45</v>
      </c>
      <c r="B413" s="51" t="s">
        <v>330</v>
      </c>
      <c r="C413" s="51"/>
      <c r="D413" s="58" t="s">
        <v>472</v>
      </c>
      <c r="E413" s="53">
        <v>12</v>
      </c>
      <c r="F413" s="9">
        <v>58.67</v>
      </c>
      <c r="G413" s="10">
        <v>60</v>
      </c>
      <c r="H413" s="54">
        <f t="shared" si="19"/>
        <v>720</v>
      </c>
      <c r="I413" s="55">
        <v>0</v>
      </c>
      <c r="J413" s="80">
        <f t="shared" si="20"/>
        <v>720</v>
      </c>
      <c r="K413" s="57">
        <f t="shared" si="21"/>
        <v>704.04</v>
      </c>
    </row>
    <row r="414" spans="1:17" ht="15" x14ac:dyDescent="0.2">
      <c r="A414" s="50" t="s">
        <v>45</v>
      </c>
      <c r="B414" s="51" t="s">
        <v>317</v>
      </c>
      <c r="C414" s="51" t="s">
        <v>411</v>
      </c>
      <c r="D414" s="58" t="s">
        <v>459</v>
      </c>
      <c r="E414" s="53">
        <v>24</v>
      </c>
      <c r="F414" s="9">
        <v>59.17</v>
      </c>
      <c r="G414" s="10">
        <v>60</v>
      </c>
      <c r="H414" s="54">
        <f t="shared" si="19"/>
        <v>1440</v>
      </c>
      <c r="I414" s="55">
        <v>0</v>
      </c>
      <c r="J414" s="80">
        <f t="shared" si="20"/>
        <v>1440</v>
      </c>
      <c r="K414" s="57">
        <f t="shared" si="21"/>
        <v>1420.08</v>
      </c>
    </row>
    <row r="415" spans="1:17" ht="15" x14ac:dyDescent="0.2">
      <c r="A415" s="50" t="s">
        <v>45</v>
      </c>
      <c r="B415" s="51" t="s">
        <v>317</v>
      </c>
      <c r="C415" s="51" t="s">
        <v>412</v>
      </c>
      <c r="D415" s="58" t="s">
        <v>459</v>
      </c>
      <c r="E415" s="53">
        <v>12</v>
      </c>
      <c r="F415" s="9">
        <v>59.17</v>
      </c>
      <c r="G415" s="10">
        <v>60</v>
      </c>
      <c r="H415" s="54">
        <f t="shared" si="19"/>
        <v>720</v>
      </c>
      <c r="I415" s="55">
        <v>0</v>
      </c>
      <c r="J415" s="80">
        <f t="shared" si="20"/>
        <v>720</v>
      </c>
      <c r="K415" s="57">
        <f t="shared" si="21"/>
        <v>710.04</v>
      </c>
    </row>
    <row r="416" spans="1:17" ht="15" x14ac:dyDescent="0.2">
      <c r="A416" s="50" t="s">
        <v>45</v>
      </c>
      <c r="B416" s="51" t="s">
        <v>316</v>
      </c>
      <c r="C416" s="60"/>
      <c r="D416" s="58" t="s">
        <v>458</v>
      </c>
      <c r="E416" s="53">
        <v>48</v>
      </c>
      <c r="F416" s="9">
        <v>15.92</v>
      </c>
      <c r="G416" s="10">
        <v>16.329999999999998</v>
      </c>
      <c r="H416" s="54">
        <f t="shared" si="19"/>
        <v>783.83999999999992</v>
      </c>
      <c r="I416" s="55">
        <v>0</v>
      </c>
      <c r="J416" s="80">
        <f t="shared" si="20"/>
        <v>783.83999999999992</v>
      </c>
      <c r="K416" s="57">
        <f t="shared" si="21"/>
        <v>764.16</v>
      </c>
    </row>
    <row r="417" spans="1:14" ht="15" x14ac:dyDescent="0.2">
      <c r="A417" s="50" t="s">
        <v>45</v>
      </c>
      <c r="B417" s="51" t="s">
        <v>322</v>
      </c>
      <c r="C417" s="60"/>
      <c r="D417" s="58" t="s">
        <v>464</v>
      </c>
      <c r="E417" s="53">
        <v>24</v>
      </c>
      <c r="F417" s="9">
        <v>15.92</v>
      </c>
      <c r="G417" s="10">
        <v>16.329999999999998</v>
      </c>
      <c r="H417" s="54">
        <f t="shared" si="19"/>
        <v>391.91999999999996</v>
      </c>
      <c r="I417" s="55">
        <v>0</v>
      </c>
      <c r="J417" s="80">
        <f t="shared" si="20"/>
        <v>391.91999999999996</v>
      </c>
      <c r="K417" s="57">
        <f t="shared" si="21"/>
        <v>382.08</v>
      </c>
    </row>
    <row r="418" spans="1:14" ht="15" x14ac:dyDescent="0.2">
      <c r="A418" s="50" t="s">
        <v>45</v>
      </c>
      <c r="B418" s="51" t="s">
        <v>323</v>
      </c>
      <c r="C418" s="60"/>
      <c r="D418" s="58" t="s">
        <v>465</v>
      </c>
      <c r="E418" s="53">
        <v>24</v>
      </c>
      <c r="F418" s="9">
        <v>15.92</v>
      </c>
      <c r="G418" s="10">
        <v>16.329999999999998</v>
      </c>
      <c r="H418" s="54">
        <f t="shared" si="19"/>
        <v>391.91999999999996</v>
      </c>
      <c r="I418" s="55">
        <v>0</v>
      </c>
      <c r="J418" s="80">
        <f t="shared" si="20"/>
        <v>391.91999999999996</v>
      </c>
      <c r="K418" s="57">
        <f t="shared" si="21"/>
        <v>382.08</v>
      </c>
    </row>
    <row r="419" spans="1:14" ht="15" x14ac:dyDescent="0.2">
      <c r="A419" s="50" t="s">
        <v>45</v>
      </c>
      <c r="B419" s="51" t="s">
        <v>335</v>
      </c>
      <c r="C419" s="60"/>
      <c r="D419" s="58" t="s">
        <v>477</v>
      </c>
      <c r="E419" s="53">
        <v>48</v>
      </c>
      <c r="F419" s="9">
        <v>7.04</v>
      </c>
      <c r="G419" s="10">
        <v>7.54</v>
      </c>
      <c r="H419" s="54">
        <f t="shared" si="19"/>
        <v>361.92</v>
      </c>
      <c r="I419" s="55">
        <v>0</v>
      </c>
      <c r="J419" s="80">
        <f t="shared" si="20"/>
        <v>361.92</v>
      </c>
      <c r="K419" s="57">
        <f t="shared" si="21"/>
        <v>337.92</v>
      </c>
    </row>
    <row r="420" spans="1:14" ht="15" x14ac:dyDescent="0.2">
      <c r="A420" s="50" t="s">
        <v>45</v>
      </c>
      <c r="B420" s="51" t="s">
        <v>326</v>
      </c>
      <c r="C420" s="60"/>
      <c r="D420" s="58" t="s">
        <v>468</v>
      </c>
      <c r="E420" s="53">
        <v>48</v>
      </c>
      <c r="F420" s="9">
        <v>7.04</v>
      </c>
      <c r="G420" s="10">
        <v>7.54</v>
      </c>
      <c r="H420" s="54">
        <f t="shared" si="19"/>
        <v>361.92</v>
      </c>
      <c r="I420" s="55">
        <v>0</v>
      </c>
      <c r="J420" s="80">
        <f t="shared" si="20"/>
        <v>361.92</v>
      </c>
      <c r="K420" s="57">
        <f t="shared" si="21"/>
        <v>337.92</v>
      </c>
    </row>
    <row r="421" spans="1:14" ht="15" x14ac:dyDescent="0.2">
      <c r="A421" s="50" t="s">
        <v>45</v>
      </c>
      <c r="B421" s="51" t="s">
        <v>324</v>
      </c>
      <c r="C421" s="60"/>
      <c r="D421" s="58" t="s">
        <v>466</v>
      </c>
      <c r="E421" s="53">
        <v>30</v>
      </c>
      <c r="F421" s="9">
        <v>6.67</v>
      </c>
      <c r="G421" s="10">
        <v>7.25</v>
      </c>
      <c r="H421" s="54">
        <f t="shared" si="19"/>
        <v>217.5</v>
      </c>
      <c r="I421" s="55">
        <v>0</v>
      </c>
      <c r="J421" s="80">
        <f t="shared" si="20"/>
        <v>217.5</v>
      </c>
      <c r="K421" s="57">
        <f t="shared" si="21"/>
        <v>200.1</v>
      </c>
      <c r="N421" s="59"/>
    </row>
    <row r="422" spans="1:14" ht="15" x14ac:dyDescent="0.2">
      <c r="A422" s="50" t="s">
        <v>45</v>
      </c>
      <c r="B422" s="51" t="s">
        <v>316</v>
      </c>
      <c r="C422" s="60" t="s">
        <v>413</v>
      </c>
      <c r="D422" s="58" t="s">
        <v>458</v>
      </c>
      <c r="E422" s="53">
        <v>36</v>
      </c>
      <c r="F422" s="9">
        <v>15.92</v>
      </c>
      <c r="G422" s="10">
        <v>16.329999999999998</v>
      </c>
      <c r="H422" s="54">
        <f t="shared" si="19"/>
        <v>587.87999999999988</v>
      </c>
      <c r="I422" s="55">
        <v>0</v>
      </c>
      <c r="J422" s="80">
        <f t="shared" si="20"/>
        <v>587.87999999999988</v>
      </c>
      <c r="K422" s="57">
        <f t="shared" si="21"/>
        <v>573.12</v>
      </c>
    </row>
    <row r="423" spans="1:14" ht="15" x14ac:dyDescent="0.2">
      <c r="A423" s="50" t="s">
        <v>45</v>
      </c>
      <c r="B423" s="51" t="s">
        <v>329</v>
      </c>
      <c r="C423" s="60" t="s">
        <v>414</v>
      </c>
      <c r="D423" s="58" t="s">
        <v>471</v>
      </c>
      <c r="E423" s="53">
        <v>12</v>
      </c>
      <c r="F423" s="9">
        <v>21.33</v>
      </c>
      <c r="G423" s="10">
        <v>22.33</v>
      </c>
      <c r="H423" s="54">
        <f t="shared" si="19"/>
        <v>267.95999999999998</v>
      </c>
      <c r="I423" s="55">
        <v>0</v>
      </c>
      <c r="J423" s="80">
        <f t="shared" si="20"/>
        <v>267.95999999999998</v>
      </c>
      <c r="K423" s="57">
        <f t="shared" si="21"/>
        <v>255.95999999999998</v>
      </c>
    </row>
    <row r="424" spans="1:14" ht="15" x14ac:dyDescent="0.2">
      <c r="A424" s="50" t="s">
        <v>45</v>
      </c>
      <c r="B424" s="51" t="s">
        <v>325</v>
      </c>
      <c r="C424" s="60"/>
      <c r="D424" s="58" t="s">
        <v>467</v>
      </c>
      <c r="E424" s="53">
        <v>36</v>
      </c>
      <c r="F424" s="9">
        <v>21.33</v>
      </c>
      <c r="G424" s="10">
        <v>22.33</v>
      </c>
      <c r="H424" s="54">
        <f t="shared" si="19"/>
        <v>803.87999999999988</v>
      </c>
      <c r="I424" s="55">
        <v>0</v>
      </c>
      <c r="J424" s="80">
        <f t="shared" si="20"/>
        <v>803.87999999999988</v>
      </c>
      <c r="K424" s="57">
        <f t="shared" si="21"/>
        <v>767.87999999999988</v>
      </c>
    </row>
    <row r="425" spans="1:14" ht="15" x14ac:dyDescent="0.2">
      <c r="A425" s="50" t="s">
        <v>45</v>
      </c>
      <c r="B425" s="51" t="s">
        <v>335</v>
      </c>
      <c r="C425" s="60"/>
      <c r="D425" s="58" t="s">
        <v>477</v>
      </c>
      <c r="E425" s="53">
        <v>72</v>
      </c>
      <c r="F425" s="9">
        <v>7.04</v>
      </c>
      <c r="G425" s="10">
        <v>7.54</v>
      </c>
      <c r="H425" s="54">
        <f t="shared" si="19"/>
        <v>542.88</v>
      </c>
      <c r="I425" s="55">
        <v>0</v>
      </c>
      <c r="J425" s="80">
        <f t="shared" si="20"/>
        <v>542.88</v>
      </c>
      <c r="K425" s="57">
        <f t="shared" si="21"/>
        <v>506.88</v>
      </c>
    </row>
    <row r="426" spans="1:14" ht="15" x14ac:dyDescent="0.2">
      <c r="A426" s="50" t="s">
        <v>45</v>
      </c>
      <c r="B426" s="51" t="s">
        <v>313</v>
      </c>
      <c r="C426" s="60"/>
      <c r="D426" s="58" t="s">
        <v>455</v>
      </c>
      <c r="E426" s="53">
        <v>48</v>
      </c>
      <c r="F426" s="9">
        <v>7.04</v>
      </c>
      <c r="G426" s="10">
        <v>7.54</v>
      </c>
      <c r="H426" s="54">
        <f t="shared" si="19"/>
        <v>361.92</v>
      </c>
      <c r="I426" s="55">
        <v>0</v>
      </c>
      <c r="J426" s="80">
        <f t="shared" si="20"/>
        <v>361.92</v>
      </c>
      <c r="K426" s="57">
        <f t="shared" si="21"/>
        <v>337.92</v>
      </c>
    </row>
    <row r="427" spans="1:14" ht="15" x14ac:dyDescent="0.2">
      <c r="A427" s="50" t="s">
        <v>45</v>
      </c>
      <c r="B427" s="51" t="s">
        <v>317</v>
      </c>
      <c r="C427" s="60"/>
      <c r="D427" s="58" t="s">
        <v>459</v>
      </c>
      <c r="E427" s="53">
        <v>12</v>
      </c>
      <c r="F427" s="9">
        <v>59.17</v>
      </c>
      <c r="G427" s="10">
        <v>60</v>
      </c>
      <c r="H427" s="54">
        <f t="shared" si="19"/>
        <v>720</v>
      </c>
      <c r="I427" s="55">
        <v>0</v>
      </c>
      <c r="J427" s="80">
        <f t="shared" si="20"/>
        <v>720</v>
      </c>
      <c r="K427" s="57">
        <f t="shared" si="21"/>
        <v>710.04</v>
      </c>
    </row>
    <row r="428" spans="1:14" ht="15" x14ac:dyDescent="0.2">
      <c r="A428" s="50" t="s">
        <v>45</v>
      </c>
      <c r="B428" s="51" t="s">
        <v>319</v>
      </c>
      <c r="C428" s="60"/>
      <c r="D428" s="58" t="s">
        <v>461</v>
      </c>
      <c r="E428" s="53">
        <v>60</v>
      </c>
      <c r="F428" s="9">
        <v>11.58</v>
      </c>
      <c r="G428" s="10">
        <v>12</v>
      </c>
      <c r="H428" s="54">
        <f t="shared" si="19"/>
        <v>720</v>
      </c>
      <c r="I428" s="55">
        <v>0</v>
      </c>
      <c r="J428" s="80">
        <f t="shared" si="20"/>
        <v>720</v>
      </c>
      <c r="K428" s="57">
        <f t="shared" si="21"/>
        <v>694.8</v>
      </c>
    </row>
    <row r="429" spans="1:14" ht="15" x14ac:dyDescent="0.2">
      <c r="A429" s="50" t="s">
        <v>45</v>
      </c>
      <c r="B429" s="51" t="s">
        <v>316</v>
      </c>
      <c r="C429" s="60" t="s">
        <v>415</v>
      </c>
      <c r="D429" s="58" t="s">
        <v>458</v>
      </c>
      <c r="E429" s="53">
        <v>60</v>
      </c>
      <c r="F429" s="9">
        <v>15.92</v>
      </c>
      <c r="G429" s="10">
        <v>16.329999999999998</v>
      </c>
      <c r="H429" s="54">
        <f t="shared" si="19"/>
        <v>979.8</v>
      </c>
      <c r="I429" s="55">
        <v>0</v>
      </c>
      <c r="J429" s="80">
        <f t="shared" si="20"/>
        <v>979.8</v>
      </c>
      <c r="K429" s="57">
        <f t="shared" si="21"/>
        <v>955.2</v>
      </c>
    </row>
    <row r="430" spans="1:14" ht="15" x14ac:dyDescent="0.2">
      <c r="A430" s="50" t="s">
        <v>45</v>
      </c>
      <c r="B430" s="51" t="s">
        <v>318</v>
      </c>
      <c r="C430" s="60"/>
      <c r="D430" s="58" t="s">
        <v>460</v>
      </c>
      <c r="E430" s="53">
        <v>12</v>
      </c>
      <c r="F430" s="9">
        <v>59.17</v>
      </c>
      <c r="G430" s="10">
        <v>60</v>
      </c>
      <c r="H430" s="54">
        <f t="shared" si="19"/>
        <v>720</v>
      </c>
      <c r="I430" s="55">
        <v>0</v>
      </c>
      <c r="J430" s="80">
        <f t="shared" si="20"/>
        <v>720</v>
      </c>
      <c r="K430" s="57">
        <f t="shared" si="21"/>
        <v>710.04</v>
      </c>
    </row>
    <row r="431" spans="1:14" ht="15" x14ac:dyDescent="0.2">
      <c r="A431" s="50" t="s">
        <v>45</v>
      </c>
      <c r="B431" s="51" t="s">
        <v>326</v>
      </c>
      <c r="C431" s="60"/>
      <c r="D431" s="58" t="s">
        <v>468</v>
      </c>
      <c r="E431" s="53">
        <v>120</v>
      </c>
      <c r="F431" s="9">
        <v>7.04</v>
      </c>
      <c r="G431" s="10">
        <v>7.54</v>
      </c>
      <c r="H431" s="54">
        <f t="shared" si="19"/>
        <v>904.8</v>
      </c>
      <c r="I431" s="55">
        <v>0</v>
      </c>
      <c r="J431" s="80">
        <f t="shared" si="20"/>
        <v>904.8</v>
      </c>
      <c r="K431" s="57">
        <f t="shared" si="21"/>
        <v>844.8</v>
      </c>
    </row>
    <row r="432" spans="1:14" ht="15" x14ac:dyDescent="0.2">
      <c r="A432" s="50" t="s">
        <v>45</v>
      </c>
      <c r="B432" s="51" t="s">
        <v>313</v>
      </c>
      <c r="C432" s="60"/>
      <c r="D432" s="58" t="s">
        <v>455</v>
      </c>
      <c r="E432" s="53">
        <v>120</v>
      </c>
      <c r="F432" s="9">
        <v>7.04</v>
      </c>
      <c r="G432" s="10">
        <v>7.54</v>
      </c>
      <c r="H432" s="54">
        <f t="shared" si="19"/>
        <v>904.8</v>
      </c>
      <c r="I432" s="55">
        <v>0</v>
      </c>
      <c r="J432" s="80">
        <f t="shared" si="20"/>
        <v>904.8</v>
      </c>
      <c r="K432" s="57">
        <f t="shared" si="21"/>
        <v>844.8</v>
      </c>
    </row>
    <row r="433" spans="1:14" ht="15" x14ac:dyDescent="0.2">
      <c r="A433" s="50" t="s">
        <v>45</v>
      </c>
      <c r="B433" s="51" t="s">
        <v>335</v>
      </c>
      <c r="C433" s="60"/>
      <c r="D433" s="58" t="s">
        <v>477</v>
      </c>
      <c r="E433" s="53">
        <v>360</v>
      </c>
      <c r="F433" s="9">
        <v>7.04</v>
      </c>
      <c r="G433" s="10">
        <v>7.54</v>
      </c>
      <c r="H433" s="54">
        <f t="shared" si="19"/>
        <v>2714.4</v>
      </c>
      <c r="I433" s="55">
        <v>0</v>
      </c>
      <c r="J433" s="80">
        <f t="shared" si="20"/>
        <v>2714.4</v>
      </c>
      <c r="K433" s="57">
        <f t="shared" si="21"/>
        <v>2534.4</v>
      </c>
    </row>
    <row r="434" spans="1:14" ht="15" x14ac:dyDescent="0.2">
      <c r="A434" s="50" t="s">
        <v>45</v>
      </c>
      <c r="B434" s="51" t="s">
        <v>325</v>
      </c>
      <c r="C434" s="60"/>
      <c r="D434" s="58" t="s">
        <v>467</v>
      </c>
      <c r="E434" s="53">
        <v>36</v>
      </c>
      <c r="F434" s="9">
        <v>21.33</v>
      </c>
      <c r="G434" s="10">
        <v>22.33</v>
      </c>
      <c r="H434" s="54">
        <f t="shared" si="19"/>
        <v>803.87999999999988</v>
      </c>
      <c r="I434" s="55">
        <v>0</v>
      </c>
      <c r="J434" s="80">
        <f t="shared" si="20"/>
        <v>803.87999999999988</v>
      </c>
      <c r="K434" s="57">
        <f t="shared" si="21"/>
        <v>767.87999999999988</v>
      </c>
    </row>
    <row r="435" spans="1:14" ht="15" x14ac:dyDescent="0.2">
      <c r="A435" s="50" t="s">
        <v>45</v>
      </c>
      <c r="B435" s="51" t="s">
        <v>329</v>
      </c>
      <c r="C435" s="60"/>
      <c r="D435" s="58" t="s">
        <v>471</v>
      </c>
      <c r="E435" s="53">
        <v>48</v>
      </c>
      <c r="F435" s="9">
        <v>21.33</v>
      </c>
      <c r="G435" s="10">
        <v>22.33</v>
      </c>
      <c r="H435" s="54">
        <f t="shared" si="19"/>
        <v>1071.8399999999999</v>
      </c>
      <c r="I435" s="55">
        <v>0</v>
      </c>
      <c r="J435" s="80">
        <f t="shared" si="20"/>
        <v>1071.8399999999999</v>
      </c>
      <c r="K435" s="57">
        <f t="shared" si="21"/>
        <v>1023.8399999999999</v>
      </c>
    </row>
    <row r="436" spans="1:14" ht="15" x14ac:dyDescent="0.2">
      <c r="A436" s="50" t="s">
        <v>45</v>
      </c>
      <c r="B436" s="51" t="s">
        <v>335</v>
      </c>
      <c r="C436" s="60" t="s">
        <v>416</v>
      </c>
      <c r="D436" s="58" t="s">
        <v>477</v>
      </c>
      <c r="E436" s="53">
        <v>960</v>
      </c>
      <c r="F436" s="9">
        <v>7.04</v>
      </c>
      <c r="G436" s="10">
        <v>7.54</v>
      </c>
      <c r="H436" s="54">
        <f t="shared" si="19"/>
        <v>7238.4</v>
      </c>
      <c r="I436" s="55">
        <v>0</v>
      </c>
      <c r="J436" s="81">
        <f t="shared" si="20"/>
        <v>7238.4</v>
      </c>
      <c r="K436" s="57">
        <f t="shared" si="21"/>
        <v>6758.4</v>
      </c>
    </row>
    <row r="437" spans="1:14" ht="15" x14ac:dyDescent="0.2">
      <c r="A437" s="50" t="s">
        <v>45</v>
      </c>
      <c r="B437" s="51" t="s">
        <v>313</v>
      </c>
      <c r="C437" s="60"/>
      <c r="D437" s="58" t="s">
        <v>455</v>
      </c>
      <c r="E437" s="53">
        <v>240</v>
      </c>
      <c r="F437" s="9">
        <v>7.04</v>
      </c>
      <c r="G437" s="10">
        <v>7.54</v>
      </c>
      <c r="H437" s="54">
        <f t="shared" si="19"/>
        <v>1809.6</v>
      </c>
      <c r="I437" s="55">
        <v>0</v>
      </c>
      <c r="J437" s="81">
        <f t="shared" si="20"/>
        <v>1809.6</v>
      </c>
      <c r="K437" s="57">
        <f t="shared" si="21"/>
        <v>1689.6</v>
      </c>
    </row>
    <row r="438" spans="1:14" ht="15" x14ac:dyDescent="0.2">
      <c r="A438" s="50" t="s">
        <v>45</v>
      </c>
      <c r="B438" s="51" t="s">
        <v>326</v>
      </c>
      <c r="C438" s="60"/>
      <c r="D438" s="58" t="s">
        <v>468</v>
      </c>
      <c r="E438" s="53">
        <v>120</v>
      </c>
      <c r="F438" s="9">
        <v>7.04</v>
      </c>
      <c r="G438" s="10">
        <v>7.54</v>
      </c>
      <c r="H438" s="54">
        <f t="shared" si="19"/>
        <v>904.8</v>
      </c>
      <c r="I438" s="55">
        <v>0</v>
      </c>
      <c r="J438" s="81">
        <f t="shared" si="20"/>
        <v>904.8</v>
      </c>
      <c r="K438" s="57">
        <f t="shared" si="21"/>
        <v>844.8</v>
      </c>
    </row>
    <row r="439" spans="1:14" ht="15" x14ac:dyDescent="0.2">
      <c r="A439" s="50" t="s">
        <v>45</v>
      </c>
      <c r="B439" s="51" t="s">
        <v>325</v>
      </c>
      <c r="C439" s="60"/>
      <c r="D439" s="58" t="s">
        <v>467</v>
      </c>
      <c r="E439" s="53">
        <v>60</v>
      </c>
      <c r="F439" s="9">
        <v>21.33</v>
      </c>
      <c r="G439" s="10">
        <v>22.33</v>
      </c>
      <c r="H439" s="54">
        <f t="shared" si="19"/>
        <v>1339.8</v>
      </c>
      <c r="I439" s="55">
        <v>0</v>
      </c>
      <c r="J439" s="81">
        <f t="shared" si="20"/>
        <v>1339.8</v>
      </c>
      <c r="K439" s="57">
        <f t="shared" si="21"/>
        <v>1279.8</v>
      </c>
    </row>
    <row r="440" spans="1:14" ht="15" x14ac:dyDescent="0.2">
      <c r="A440" s="50" t="s">
        <v>45</v>
      </c>
      <c r="B440" s="51" t="s">
        <v>329</v>
      </c>
      <c r="C440" s="60"/>
      <c r="D440" s="58" t="s">
        <v>471</v>
      </c>
      <c r="E440" s="53">
        <v>60</v>
      </c>
      <c r="F440" s="9">
        <v>21.33</v>
      </c>
      <c r="G440" s="10">
        <v>22.33</v>
      </c>
      <c r="H440" s="54">
        <f t="shared" si="19"/>
        <v>1339.8</v>
      </c>
      <c r="I440" s="55">
        <v>0</v>
      </c>
      <c r="J440" s="81">
        <f t="shared" si="20"/>
        <v>1339.8</v>
      </c>
      <c r="K440" s="57">
        <f t="shared" si="21"/>
        <v>1279.8</v>
      </c>
    </row>
    <row r="441" spans="1:14" ht="15" x14ac:dyDescent="0.2">
      <c r="A441" s="50" t="s">
        <v>45</v>
      </c>
      <c r="B441" s="51" t="s">
        <v>316</v>
      </c>
      <c r="C441" s="60"/>
      <c r="D441" s="58" t="s">
        <v>458</v>
      </c>
      <c r="E441" s="53">
        <v>360</v>
      </c>
      <c r="F441" s="9">
        <v>15.92</v>
      </c>
      <c r="G441" s="10">
        <v>16.329999999999998</v>
      </c>
      <c r="H441" s="54">
        <f t="shared" si="19"/>
        <v>5878.7999999999993</v>
      </c>
      <c r="I441" s="55">
        <v>0</v>
      </c>
      <c r="J441" s="81">
        <f t="shared" si="20"/>
        <v>5878.7999999999993</v>
      </c>
      <c r="K441" s="57">
        <f t="shared" si="21"/>
        <v>5731.2</v>
      </c>
      <c r="N441" s="59"/>
    </row>
    <row r="442" spans="1:14" ht="15" x14ac:dyDescent="0.2">
      <c r="A442" s="50" t="s">
        <v>45</v>
      </c>
      <c r="B442" s="51" t="s">
        <v>322</v>
      </c>
      <c r="C442" s="60"/>
      <c r="D442" s="58" t="s">
        <v>464</v>
      </c>
      <c r="E442" s="53">
        <v>60</v>
      </c>
      <c r="F442" s="9">
        <v>15.92</v>
      </c>
      <c r="G442" s="10">
        <v>16.329999999999998</v>
      </c>
      <c r="H442" s="54">
        <f t="shared" si="19"/>
        <v>979.8</v>
      </c>
      <c r="I442" s="55">
        <v>0</v>
      </c>
      <c r="J442" s="81">
        <f t="shared" si="20"/>
        <v>979.8</v>
      </c>
      <c r="K442" s="57">
        <f t="shared" si="21"/>
        <v>955.2</v>
      </c>
    </row>
    <row r="443" spans="1:14" ht="15" x14ac:dyDescent="0.2">
      <c r="A443" s="50" t="s">
        <v>45</v>
      </c>
      <c r="B443" s="51" t="s">
        <v>323</v>
      </c>
      <c r="C443" s="60"/>
      <c r="D443" s="58" t="s">
        <v>465</v>
      </c>
      <c r="E443" s="53">
        <v>60</v>
      </c>
      <c r="F443" s="9">
        <v>15.92</v>
      </c>
      <c r="G443" s="10">
        <v>16.329999999999998</v>
      </c>
      <c r="H443" s="54">
        <f t="shared" si="19"/>
        <v>979.8</v>
      </c>
      <c r="I443" s="55">
        <v>0</v>
      </c>
      <c r="J443" s="81">
        <f t="shared" si="20"/>
        <v>979.8</v>
      </c>
      <c r="K443" s="57">
        <f t="shared" si="21"/>
        <v>955.2</v>
      </c>
    </row>
    <row r="444" spans="1:14" ht="15" x14ac:dyDescent="0.2">
      <c r="A444" s="50" t="s">
        <v>45</v>
      </c>
      <c r="B444" s="51" t="s">
        <v>319</v>
      </c>
      <c r="C444" s="60"/>
      <c r="D444" s="58" t="s">
        <v>461</v>
      </c>
      <c r="E444" s="53">
        <v>240</v>
      </c>
      <c r="F444" s="9">
        <v>11.58</v>
      </c>
      <c r="G444" s="10">
        <v>12</v>
      </c>
      <c r="H444" s="54">
        <f t="shared" si="19"/>
        <v>2880</v>
      </c>
      <c r="I444" s="55">
        <v>0</v>
      </c>
      <c r="J444" s="81">
        <f t="shared" si="20"/>
        <v>2880</v>
      </c>
      <c r="K444" s="57">
        <f t="shared" si="21"/>
        <v>2779.2</v>
      </c>
    </row>
    <row r="445" spans="1:14" ht="15" x14ac:dyDescent="0.2">
      <c r="A445" s="50" t="s">
        <v>45</v>
      </c>
      <c r="B445" s="51" t="s">
        <v>317</v>
      </c>
      <c r="C445" s="60"/>
      <c r="D445" s="58" t="s">
        <v>459</v>
      </c>
      <c r="E445" s="53">
        <v>72</v>
      </c>
      <c r="F445" s="9">
        <v>59.17</v>
      </c>
      <c r="G445" s="10">
        <v>60</v>
      </c>
      <c r="H445" s="54">
        <f t="shared" si="19"/>
        <v>4320</v>
      </c>
      <c r="I445" s="55">
        <v>0</v>
      </c>
      <c r="J445" s="81">
        <f t="shared" si="20"/>
        <v>4320</v>
      </c>
      <c r="K445" s="57">
        <f t="shared" si="21"/>
        <v>4260.24</v>
      </c>
    </row>
    <row r="446" spans="1:14" ht="15" x14ac:dyDescent="0.2">
      <c r="A446" s="50" t="s">
        <v>45</v>
      </c>
      <c r="B446" s="51" t="s">
        <v>330</v>
      </c>
      <c r="C446" s="60"/>
      <c r="D446" s="58" t="s">
        <v>472</v>
      </c>
      <c r="E446" s="53">
        <v>24</v>
      </c>
      <c r="F446" s="9">
        <v>58.67</v>
      </c>
      <c r="G446" s="10">
        <v>60</v>
      </c>
      <c r="H446" s="54">
        <f t="shared" si="19"/>
        <v>1440</v>
      </c>
      <c r="I446" s="55">
        <v>0</v>
      </c>
      <c r="J446" s="81">
        <f t="shared" si="20"/>
        <v>1440</v>
      </c>
      <c r="K446" s="57">
        <f t="shared" si="21"/>
        <v>1408.08</v>
      </c>
    </row>
    <row r="447" spans="1:14" ht="15" x14ac:dyDescent="0.2">
      <c r="A447" s="50" t="s">
        <v>45</v>
      </c>
      <c r="B447" s="51" t="s">
        <v>318</v>
      </c>
      <c r="C447" s="60"/>
      <c r="D447" s="58" t="s">
        <v>460</v>
      </c>
      <c r="E447" s="53">
        <v>24</v>
      </c>
      <c r="F447" s="9">
        <v>59.17</v>
      </c>
      <c r="G447" s="10">
        <v>60</v>
      </c>
      <c r="H447" s="54">
        <f t="shared" si="19"/>
        <v>1440</v>
      </c>
      <c r="I447" s="55">
        <v>0</v>
      </c>
      <c r="J447" s="81">
        <f t="shared" si="20"/>
        <v>1440</v>
      </c>
      <c r="K447" s="57">
        <f t="shared" si="21"/>
        <v>1420.08</v>
      </c>
      <c r="N447" s="59"/>
    </row>
    <row r="448" spans="1:14" ht="15" x14ac:dyDescent="0.2">
      <c r="A448" s="50" t="s">
        <v>45</v>
      </c>
      <c r="B448" s="51" t="s">
        <v>331</v>
      </c>
      <c r="C448" s="60"/>
      <c r="D448" s="58" t="s">
        <v>473</v>
      </c>
      <c r="E448" s="53">
        <v>48</v>
      </c>
      <c r="F448" s="9">
        <v>8.7100000000000009</v>
      </c>
      <c r="G448" s="10">
        <v>9.3800000000000008</v>
      </c>
      <c r="H448" s="54">
        <f t="shared" si="19"/>
        <v>450.24</v>
      </c>
      <c r="I448" s="55">
        <v>0</v>
      </c>
      <c r="J448" s="81">
        <f t="shared" si="20"/>
        <v>450.24</v>
      </c>
      <c r="K448" s="57">
        <f t="shared" si="21"/>
        <v>418.08000000000004</v>
      </c>
    </row>
    <row r="449" spans="1:16" ht="15" x14ac:dyDescent="0.2">
      <c r="A449" s="50" t="s">
        <v>45</v>
      </c>
      <c r="B449" s="51" t="s">
        <v>332</v>
      </c>
      <c r="C449" s="60"/>
      <c r="D449" s="58" t="s">
        <v>474</v>
      </c>
      <c r="E449" s="53">
        <v>12</v>
      </c>
      <c r="F449" s="9">
        <v>14.58</v>
      </c>
      <c r="G449" s="10">
        <v>15.92</v>
      </c>
      <c r="H449" s="54">
        <f t="shared" si="19"/>
        <v>191.04</v>
      </c>
      <c r="I449" s="55">
        <v>0</v>
      </c>
      <c r="J449" s="81">
        <f t="shared" si="20"/>
        <v>191.04</v>
      </c>
      <c r="K449" s="57">
        <f t="shared" si="21"/>
        <v>174.96</v>
      </c>
    </row>
    <row r="450" spans="1:16" ht="15" x14ac:dyDescent="0.2">
      <c r="A450" s="50" t="s">
        <v>45</v>
      </c>
      <c r="B450" s="51" t="s">
        <v>335</v>
      </c>
      <c r="C450" s="60" t="s">
        <v>417</v>
      </c>
      <c r="D450" s="58" t="s">
        <v>477</v>
      </c>
      <c r="E450" s="53">
        <v>24</v>
      </c>
      <c r="F450" s="9">
        <v>7.04</v>
      </c>
      <c r="G450" s="10">
        <v>7.54</v>
      </c>
      <c r="H450" s="54">
        <f t="shared" si="19"/>
        <v>180.96</v>
      </c>
      <c r="I450" s="55">
        <v>0</v>
      </c>
      <c r="J450" s="81">
        <f t="shared" si="20"/>
        <v>180.96</v>
      </c>
      <c r="K450" s="57">
        <f t="shared" si="21"/>
        <v>168.96</v>
      </c>
    </row>
    <row r="451" spans="1:16" ht="15" x14ac:dyDescent="0.2">
      <c r="A451" s="50" t="s">
        <v>45</v>
      </c>
      <c r="B451" s="51" t="s">
        <v>313</v>
      </c>
      <c r="C451" s="60"/>
      <c r="D451" s="58" t="s">
        <v>455</v>
      </c>
      <c r="E451" s="53">
        <v>24</v>
      </c>
      <c r="F451" s="9">
        <v>7.04</v>
      </c>
      <c r="G451" s="10">
        <v>7.54</v>
      </c>
      <c r="H451" s="54">
        <f t="shared" si="19"/>
        <v>180.96</v>
      </c>
      <c r="I451" s="55">
        <v>0</v>
      </c>
      <c r="J451" s="81">
        <f t="shared" si="20"/>
        <v>180.96</v>
      </c>
      <c r="K451" s="57">
        <f t="shared" si="21"/>
        <v>168.96</v>
      </c>
    </row>
    <row r="452" spans="1:16" ht="15" x14ac:dyDescent="0.2">
      <c r="A452" s="50" t="s">
        <v>45</v>
      </c>
      <c r="B452" s="51" t="s">
        <v>329</v>
      </c>
      <c r="C452" s="60"/>
      <c r="D452" s="58" t="s">
        <v>471</v>
      </c>
      <c r="E452" s="53">
        <v>6</v>
      </c>
      <c r="F452" s="9">
        <v>21.33</v>
      </c>
      <c r="G452" s="10">
        <v>22.33</v>
      </c>
      <c r="H452" s="54">
        <f t="shared" si="19"/>
        <v>133.97999999999999</v>
      </c>
      <c r="I452" s="55">
        <v>0</v>
      </c>
      <c r="J452" s="81">
        <f t="shared" si="20"/>
        <v>133.97999999999999</v>
      </c>
      <c r="K452" s="57">
        <f t="shared" si="21"/>
        <v>127.97999999999999</v>
      </c>
    </row>
    <row r="453" spans="1:16" ht="15" x14ac:dyDescent="0.2">
      <c r="A453" s="50" t="s">
        <v>45</v>
      </c>
      <c r="B453" s="51" t="s">
        <v>325</v>
      </c>
      <c r="C453" s="60"/>
      <c r="D453" s="58" t="s">
        <v>467</v>
      </c>
      <c r="E453" s="53">
        <v>6</v>
      </c>
      <c r="F453" s="9">
        <v>21.33</v>
      </c>
      <c r="G453" s="10">
        <v>22.33</v>
      </c>
      <c r="H453" s="54">
        <f t="shared" si="19"/>
        <v>133.97999999999999</v>
      </c>
      <c r="I453" s="55">
        <v>0</v>
      </c>
      <c r="J453" s="81">
        <f t="shared" si="20"/>
        <v>133.97999999999999</v>
      </c>
      <c r="K453" s="57">
        <f t="shared" si="21"/>
        <v>127.97999999999999</v>
      </c>
      <c r="L453" s="2">
        <v>79067.460000000006</v>
      </c>
      <c r="M453" s="2">
        <v>80855</v>
      </c>
      <c r="N453" s="22">
        <f>M453-L453-P453</f>
        <v>1787.5399999999936</v>
      </c>
      <c r="P453" s="76"/>
    </row>
    <row r="454" spans="1:16" ht="15" x14ac:dyDescent="0.2">
      <c r="A454" s="50" t="s">
        <v>46</v>
      </c>
      <c r="B454" s="51" t="s">
        <v>317</v>
      </c>
      <c r="C454" s="60" t="s">
        <v>418</v>
      </c>
      <c r="D454" s="58" t="s">
        <v>459</v>
      </c>
      <c r="E454" s="53">
        <v>3</v>
      </c>
      <c r="F454" s="9">
        <v>59.17</v>
      </c>
      <c r="G454" s="10">
        <v>60</v>
      </c>
      <c r="H454" s="54">
        <f t="shared" ref="H454:H517" si="22">E454*G454</f>
        <v>180</v>
      </c>
      <c r="I454" s="55">
        <v>0</v>
      </c>
      <c r="J454" s="78">
        <f t="shared" ref="J454:J517" si="23">(G454*E454)-I454</f>
        <v>180</v>
      </c>
      <c r="K454" s="57">
        <f t="shared" ref="K454:K517" si="24">E454*F454</f>
        <v>177.51</v>
      </c>
    </row>
    <row r="455" spans="1:16" ht="15" x14ac:dyDescent="0.2">
      <c r="A455" s="50" t="s">
        <v>46</v>
      </c>
      <c r="B455" s="51" t="s">
        <v>318</v>
      </c>
      <c r="C455" s="60"/>
      <c r="D455" s="58" t="s">
        <v>460</v>
      </c>
      <c r="E455" s="53">
        <v>1</v>
      </c>
      <c r="F455" s="9">
        <v>59.17</v>
      </c>
      <c r="G455" s="10">
        <v>60</v>
      </c>
      <c r="H455" s="54">
        <f t="shared" si="22"/>
        <v>60</v>
      </c>
      <c r="I455" s="55">
        <v>0</v>
      </c>
      <c r="J455" s="78">
        <f t="shared" si="23"/>
        <v>60</v>
      </c>
      <c r="K455" s="57">
        <f t="shared" si="24"/>
        <v>59.17</v>
      </c>
    </row>
    <row r="456" spans="1:16" ht="15" x14ac:dyDescent="0.2">
      <c r="A456" s="50" t="s">
        <v>46</v>
      </c>
      <c r="B456" s="51" t="s">
        <v>319</v>
      </c>
      <c r="C456" s="60" t="s">
        <v>419</v>
      </c>
      <c r="D456" s="58" t="s">
        <v>461</v>
      </c>
      <c r="E456" s="53">
        <v>60</v>
      </c>
      <c r="F456" s="9">
        <v>11.58</v>
      </c>
      <c r="G456" s="10">
        <v>12</v>
      </c>
      <c r="H456" s="54">
        <f t="shared" si="22"/>
        <v>720</v>
      </c>
      <c r="I456" s="55">
        <v>0</v>
      </c>
      <c r="J456" s="78">
        <f t="shared" si="23"/>
        <v>720</v>
      </c>
      <c r="K456" s="57">
        <f t="shared" si="24"/>
        <v>694.8</v>
      </c>
    </row>
    <row r="457" spans="1:16" ht="15" x14ac:dyDescent="0.2">
      <c r="A457" s="50" t="s">
        <v>46</v>
      </c>
      <c r="B457" s="51" t="s">
        <v>317</v>
      </c>
      <c r="C457" s="60" t="s">
        <v>420</v>
      </c>
      <c r="D457" s="58" t="s">
        <v>459</v>
      </c>
      <c r="E457" s="53">
        <v>3</v>
      </c>
      <c r="F457" s="9">
        <v>59.17</v>
      </c>
      <c r="G457" s="10">
        <v>60</v>
      </c>
      <c r="H457" s="54">
        <f t="shared" si="22"/>
        <v>180</v>
      </c>
      <c r="I457" s="55">
        <v>0</v>
      </c>
      <c r="J457" s="78">
        <f t="shared" si="23"/>
        <v>180</v>
      </c>
      <c r="K457" s="57">
        <f t="shared" si="24"/>
        <v>177.51</v>
      </c>
    </row>
    <row r="458" spans="1:16" ht="15" x14ac:dyDescent="0.2">
      <c r="A458" s="50" t="s">
        <v>46</v>
      </c>
      <c r="B458" s="51" t="s">
        <v>316</v>
      </c>
      <c r="C458" s="60" t="s">
        <v>421</v>
      </c>
      <c r="D458" s="58" t="s">
        <v>458</v>
      </c>
      <c r="E458" s="53">
        <v>24</v>
      </c>
      <c r="F458" s="9">
        <v>15.92</v>
      </c>
      <c r="G458" s="10">
        <v>16.329999999999998</v>
      </c>
      <c r="H458" s="54">
        <f t="shared" si="22"/>
        <v>391.91999999999996</v>
      </c>
      <c r="I458" s="55">
        <v>0</v>
      </c>
      <c r="J458" s="78">
        <f t="shared" si="23"/>
        <v>391.91999999999996</v>
      </c>
      <c r="K458" s="57">
        <f t="shared" si="24"/>
        <v>382.08</v>
      </c>
    </row>
    <row r="459" spans="1:16" ht="15" x14ac:dyDescent="0.2">
      <c r="A459" s="50" t="s">
        <v>46</v>
      </c>
      <c r="B459" s="51" t="s">
        <v>319</v>
      </c>
      <c r="C459" s="60" t="s">
        <v>422</v>
      </c>
      <c r="D459" s="58" t="s">
        <v>461</v>
      </c>
      <c r="E459" s="53">
        <v>24</v>
      </c>
      <c r="F459" s="9">
        <v>11.58</v>
      </c>
      <c r="G459" s="10">
        <v>12</v>
      </c>
      <c r="H459" s="54">
        <f t="shared" si="22"/>
        <v>288</v>
      </c>
      <c r="I459" s="55">
        <v>0</v>
      </c>
      <c r="J459" s="78">
        <f t="shared" si="23"/>
        <v>288</v>
      </c>
      <c r="K459" s="57">
        <f t="shared" si="24"/>
        <v>277.92</v>
      </c>
    </row>
    <row r="460" spans="1:16" ht="15" x14ac:dyDescent="0.2">
      <c r="A460" s="50" t="s">
        <v>46</v>
      </c>
      <c r="B460" s="51" t="s">
        <v>319</v>
      </c>
      <c r="C460" s="60" t="s">
        <v>423</v>
      </c>
      <c r="D460" s="58" t="s">
        <v>461</v>
      </c>
      <c r="E460" s="53">
        <v>48</v>
      </c>
      <c r="F460" s="9">
        <v>11.58</v>
      </c>
      <c r="G460" s="10">
        <v>12</v>
      </c>
      <c r="H460" s="54">
        <f t="shared" si="22"/>
        <v>576</v>
      </c>
      <c r="I460" s="55">
        <v>0</v>
      </c>
      <c r="J460" s="78">
        <f t="shared" si="23"/>
        <v>576</v>
      </c>
      <c r="K460" s="57">
        <f t="shared" si="24"/>
        <v>555.84</v>
      </c>
    </row>
    <row r="461" spans="1:16" ht="15" x14ac:dyDescent="0.2">
      <c r="A461" s="50" t="s">
        <v>46</v>
      </c>
      <c r="B461" s="51" t="s">
        <v>320</v>
      </c>
      <c r="C461" s="60"/>
      <c r="D461" s="58" t="s">
        <v>462</v>
      </c>
      <c r="E461" s="53">
        <v>48</v>
      </c>
      <c r="F461" s="9">
        <v>11.58</v>
      </c>
      <c r="G461" s="10">
        <v>12</v>
      </c>
      <c r="H461" s="54">
        <f t="shared" si="22"/>
        <v>576</v>
      </c>
      <c r="I461" s="55">
        <v>0</v>
      </c>
      <c r="J461" s="78">
        <f t="shared" si="23"/>
        <v>576</v>
      </c>
      <c r="K461" s="57">
        <f t="shared" si="24"/>
        <v>555.84</v>
      </c>
    </row>
    <row r="462" spans="1:16" ht="15" x14ac:dyDescent="0.2">
      <c r="A462" s="50" t="s">
        <v>46</v>
      </c>
      <c r="B462" s="51" t="s">
        <v>317</v>
      </c>
      <c r="C462" s="60" t="s">
        <v>424</v>
      </c>
      <c r="D462" s="58" t="s">
        <v>459</v>
      </c>
      <c r="E462" s="53">
        <v>12</v>
      </c>
      <c r="F462" s="9">
        <v>59.17</v>
      </c>
      <c r="G462" s="10">
        <v>60</v>
      </c>
      <c r="H462" s="54">
        <f t="shared" si="22"/>
        <v>720</v>
      </c>
      <c r="I462" s="55">
        <v>0</v>
      </c>
      <c r="J462" s="78">
        <f t="shared" si="23"/>
        <v>720</v>
      </c>
      <c r="K462" s="57">
        <f t="shared" si="24"/>
        <v>710.04</v>
      </c>
    </row>
    <row r="463" spans="1:16" ht="15" x14ac:dyDescent="0.2">
      <c r="A463" s="50" t="s">
        <v>46</v>
      </c>
      <c r="B463" s="51" t="s">
        <v>316</v>
      </c>
      <c r="C463" s="60"/>
      <c r="D463" s="58" t="s">
        <v>458</v>
      </c>
      <c r="E463" s="53">
        <v>24</v>
      </c>
      <c r="F463" s="9">
        <v>15.92</v>
      </c>
      <c r="G463" s="10">
        <v>16.329999999999998</v>
      </c>
      <c r="H463" s="54">
        <f t="shared" si="22"/>
        <v>391.91999999999996</v>
      </c>
      <c r="I463" s="55">
        <v>0</v>
      </c>
      <c r="J463" s="78">
        <f t="shared" si="23"/>
        <v>391.91999999999996</v>
      </c>
      <c r="K463" s="57">
        <f t="shared" si="24"/>
        <v>382.08</v>
      </c>
    </row>
    <row r="464" spans="1:16" ht="15" x14ac:dyDescent="0.2">
      <c r="A464" s="50" t="s">
        <v>46</v>
      </c>
      <c r="B464" s="51" t="s">
        <v>319</v>
      </c>
      <c r="C464" s="60"/>
      <c r="D464" s="58" t="s">
        <v>461</v>
      </c>
      <c r="E464" s="53">
        <v>24</v>
      </c>
      <c r="F464" s="9">
        <v>11.58</v>
      </c>
      <c r="G464" s="10">
        <v>12</v>
      </c>
      <c r="H464" s="54">
        <f t="shared" si="22"/>
        <v>288</v>
      </c>
      <c r="I464" s="55">
        <v>0</v>
      </c>
      <c r="J464" s="78">
        <f t="shared" si="23"/>
        <v>288</v>
      </c>
      <c r="K464" s="57">
        <f t="shared" si="24"/>
        <v>277.92</v>
      </c>
    </row>
    <row r="465" spans="1:14" ht="15" x14ac:dyDescent="0.2">
      <c r="A465" s="50" t="s">
        <v>46</v>
      </c>
      <c r="B465" s="51" t="s">
        <v>317</v>
      </c>
      <c r="C465" s="60" t="s">
        <v>425</v>
      </c>
      <c r="D465" s="58" t="s">
        <v>459</v>
      </c>
      <c r="E465" s="53">
        <v>1</v>
      </c>
      <c r="F465" s="9">
        <v>59.17</v>
      </c>
      <c r="G465" s="10">
        <v>60</v>
      </c>
      <c r="H465" s="54">
        <f t="shared" si="22"/>
        <v>60</v>
      </c>
      <c r="I465" s="55">
        <v>0</v>
      </c>
      <c r="J465" s="78">
        <f t="shared" si="23"/>
        <v>60</v>
      </c>
      <c r="K465" s="57">
        <f t="shared" si="24"/>
        <v>59.17</v>
      </c>
    </row>
    <row r="466" spans="1:14" ht="15" x14ac:dyDescent="0.2">
      <c r="A466" s="50" t="s">
        <v>46</v>
      </c>
      <c r="B466" s="51" t="s">
        <v>319</v>
      </c>
      <c r="C466" s="60" t="s">
        <v>426</v>
      </c>
      <c r="D466" s="58" t="s">
        <v>461</v>
      </c>
      <c r="E466" s="53">
        <v>36</v>
      </c>
      <c r="F466" s="9">
        <v>11.58</v>
      </c>
      <c r="G466" s="10">
        <v>12</v>
      </c>
      <c r="H466" s="54">
        <f t="shared" si="22"/>
        <v>432</v>
      </c>
      <c r="I466" s="55">
        <v>0</v>
      </c>
      <c r="J466" s="78">
        <f t="shared" si="23"/>
        <v>432</v>
      </c>
      <c r="K466" s="57">
        <f t="shared" si="24"/>
        <v>416.88</v>
      </c>
      <c r="N466" s="59"/>
    </row>
    <row r="467" spans="1:14" ht="15" x14ac:dyDescent="0.2">
      <c r="A467" s="50" t="s">
        <v>46</v>
      </c>
      <c r="B467" s="51" t="s">
        <v>337</v>
      </c>
      <c r="C467" s="60"/>
      <c r="D467" s="58" t="s">
        <v>479</v>
      </c>
      <c r="E467" s="53">
        <v>10</v>
      </c>
      <c r="F467" s="9">
        <v>8.4</v>
      </c>
      <c r="G467" s="10">
        <v>8.8000000000000007</v>
      </c>
      <c r="H467" s="54">
        <f t="shared" si="22"/>
        <v>88</v>
      </c>
      <c r="I467" s="55">
        <v>0</v>
      </c>
      <c r="J467" s="78">
        <f t="shared" si="23"/>
        <v>88</v>
      </c>
      <c r="K467" s="57">
        <f t="shared" si="24"/>
        <v>84</v>
      </c>
    </row>
    <row r="468" spans="1:14" ht="15" x14ac:dyDescent="0.2">
      <c r="A468" s="50" t="s">
        <v>46</v>
      </c>
      <c r="B468" s="51" t="s">
        <v>316</v>
      </c>
      <c r="C468" s="60" t="s">
        <v>427</v>
      </c>
      <c r="D468" s="58" t="s">
        <v>458</v>
      </c>
      <c r="E468" s="53">
        <v>24</v>
      </c>
      <c r="F468" s="9">
        <v>15.92</v>
      </c>
      <c r="G468" s="10">
        <v>16.329999999999998</v>
      </c>
      <c r="H468" s="54">
        <f t="shared" si="22"/>
        <v>391.91999999999996</v>
      </c>
      <c r="I468" s="55">
        <v>0</v>
      </c>
      <c r="J468" s="78">
        <f t="shared" si="23"/>
        <v>391.91999999999996</v>
      </c>
      <c r="K468" s="57">
        <f t="shared" si="24"/>
        <v>382.08</v>
      </c>
    </row>
    <row r="469" spans="1:14" ht="15" x14ac:dyDescent="0.2">
      <c r="A469" s="50" t="s">
        <v>46</v>
      </c>
      <c r="B469" s="51" t="s">
        <v>317</v>
      </c>
      <c r="C469" s="60"/>
      <c r="D469" s="58" t="s">
        <v>459</v>
      </c>
      <c r="E469" s="53">
        <v>12</v>
      </c>
      <c r="F469" s="9">
        <v>59.17</v>
      </c>
      <c r="G469" s="10">
        <v>60</v>
      </c>
      <c r="H469" s="54">
        <f t="shared" si="22"/>
        <v>720</v>
      </c>
      <c r="I469" s="55">
        <v>0</v>
      </c>
      <c r="J469" s="78">
        <f t="shared" si="23"/>
        <v>720</v>
      </c>
      <c r="K469" s="57">
        <f t="shared" si="24"/>
        <v>710.04</v>
      </c>
    </row>
    <row r="470" spans="1:14" ht="15" x14ac:dyDescent="0.2">
      <c r="A470" s="50" t="s">
        <v>46</v>
      </c>
      <c r="B470" s="51" t="s">
        <v>330</v>
      </c>
      <c r="C470" s="60"/>
      <c r="D470" s="58" t="s">
        <v>472</v>
      </c>
      <c r="E470" s="53">
        <v>6</v>
      </c>
      <c r="F470" s="9">
        <v>58.67</v>
      </c>
      <c r="G470" s="10">
        <v>60</v>
      </c>
      <c r="H470" s="54">
        <f t="shared" si="22"/>
        <v>360</v>
      </c>
      <c r="I470" s="55">
        <v>0</v>
      </c>
      <c r="J470" s="78">
        <f t="shared" si="23"/>
        <v>360</v>
      </c>
      <c r="K470" s="57">
        <f t="shared" si="24"/>
        <v>352.02</v>
      </c>
    </row>
    <row r="471" spans="1:14" ht="15" x14ac:dyDescent="0.2">
      <c r="A471" s="50" t="s">
        <v>46</v>
      </c>
      <c r="B471" s="51" t="s">
        <v>318</v>
      </c>
      <c r="C471" s="60"/>
      <c r="D471" s="58" t="s">
        <v>460</v>
      </c>
      <c r="E471" s="53">
        <v>6</v>
      </c>
      <c r="F471" s="9">
        <v>59.17</v>
      </c>
      <c r="G471" s="10">
        <v>60</v>
      </c>
      <c r="H471" s="54">
        <f t="shared" si="22"/>
        <v>360</v>
      </c>
      <c r="I471" s="55">
        <v>0</v>
      </c>
      <c r="J471" s="78">
        <f t="shared" si="23"/>
        <v>360</v>
      </c>
      <c r="K471" s="57">
        <f t="shared" si="24"/>
        <v>355.02</v>
      </c>
    </row>
    <row r="472" spans="1:14" ht="15" x14ac:dyDescent="0.2">
      <c r="A472" s="50" t="s">
        <v>46</v>
      </c>
      <c r="B472" s="51" t="s">
        <v>329</v>
      </c>
      <c r="C472" s="60" t="s">
        <v>428</v>
      </c>
      <c r="D472" s="58" t="s">
        <v>471</v>
      </c>
      <c r="E472" s="53">
        <v>6</v>
      </c>
      <c r="F472" s="9">
        <v>21.33</v>
      </c>
      <c r="G472" s="10">
        <v>22.33</v>
      </c>
      <c r="H472" s="54">
        <f t="shared" si="22"/>
        <v>133.97999999999999</v>
      </c>
      <c r="I472" s="55">
        <v>0</v>
      </c>
      <c r="J472" s="78">
        <f t="shared" si="23"/>
        <v>133.97999999999999</v>
      </c>
      <c r="K472" s="57">
        <f t="shared" si="24"/>
        <v>127.97999999999999</v>
      </c>
    </row>
    <row r="473" spans="1:14" ht="15" x14ac:dyDescent="0.2">
      <c r="A473" s="50" t="s">
        <v>46</v>
      </c>
      <c r="B473" s="51" t="s">
        <v>325</v>
      </c>
      <c r="C473" s="60"/>
      <c r="D473" s="58" t="s">
        <v>467</v>
      </c>
      <c r="E473" s="53">
        <v>6</v>
      </c>
      <c r="F473" s="9">
        <v>21.33</v>
      </c>
      <c r="G473" s="10">
        <v>22.33</v>
      </c>
      <c r="H473" s="54">
        <f t="shared" si="22"/>
        <v>133.97999999999999</v>
      </c>
      <c r="I473" s="55">
        <v>0</v>
      </c>
      <c r="J473" s="78">
        <f t="shared" si="23"/>
        <v>133.97999999999999</v>
      </c>
      <c r="K473" s="57">
        <f t="shared" si="24"/>
        <v>127.97999999999999</v>
      </c>
    </row>
    <row r="474" spans="1:14" ht="15" x14ac:dyDescent="0.2">
      <c r="A474" s="50" t="s">
        <v>46</v>
      </c>
      <c r="B474" s="51" t="s">
        <v>335</v>
      </c>
      <c r="C474" s="60"/>
      <c r="D474" s="58" t="s">
        <v>477</v>
      </c>
      <c r="E474" s="53">
        <v>24</v>
      </c>
      <c r="F474" s="9">
        <v>7.04</v>
      </c>
      <c r="G474" s="10">
        <v>7.54</v>
      </c>
      <c r="H474" s="54">
        <f t="shared" si="22"/>
        <v>180.96</v>
      </c>
      <c r="I474" s="55">
        <v>0</v>
      </c>
      <c r="J474" s="78">
        <f t="shared" si="23"/>
        <v>180.96</v>
      </c>
      <c r="K474" s="57">
        <f t="shared" si="24"/>
        <v>168.96</v>
      </c>
    </row>
    <row r="475" spans="1:14" ht="15" x14ac:dyDescent="0.2">
      <c r="A475" s="50" t="s">
        <v>46</v>
      </c>
      <c r="B475" s="51" t="s">
        <v>316</v>
      </c>
      <c r="C475" s="60"/>
      <c r="D475" s="58" t="s">
        <v>458</v>
      </c>
      <c r="E475" s="53">
        <v>120</v>
      </c>
      <c r="F475" s="9">
        <v>15.92</v>
      </c>
      <c r="G475" s="10">
        <v>16.329999999999998</v>
      </c>
      <c r="H475" s="54">
        <f t="shared" si="22"/>
        <v>1959.6</v>
      </c>
      <c r="I475" s="55">
        <v>0</v>
      </c>
      <c r="J475" s="78">
        <f t="shared" si="23"/>
        <v>1959.6</v>
      </c>
      <c r="K475" s="57">
        <f t="shared" si="24"/>
        <v>1910.4</v>
      </c>
    </row>
    <row r="476" spans="1:14" ht="15" x14ac:dyDescent="0.2">
      <c r="A476" s="50" t="s">
        <v>46</v>
      </c>
      <c r="B476" s="51" t="s">
        <v>322</v>
      </c>
      <c r="C476" s="60"/>
      <c r="D476" s="58" t="s">
        <v>464</v>
      </c>
      <c r="E476" s="53">
        <v>24</v>
      </c>
      <c r="F476" s="9">
        <v>15.92</v>
      </c>
      <c r="G476" s="10">
        <v>16.329999999999998</v>
      </c>
      <c r="H476" s="54">
        <f t="shared" si="22"/>
        <v>391.91999999999996</v>
      </c>
      <c r="I476" s="55">
        <v>0</v>
      </c>
      <c r="J476" s="78">
        <f t="shared" si="23"/>
        <v>391.91999999999996</v>
      </c>
      <c r="K476" s="57">
        <f t="shared" si="24"/>
        <v>382.08</v>
      </c>
    </row>
    <row r="477" spans="1:14" ht="15" x14ac:dyDescent="0.2">
      <c r="A477" s="50" t="s">
        <v>46</v>
      </c>
      <c r="B477" s="51" t="s">
        <v>323</v>
      </c>
      <c r="C477" s="60"/>
      <c r="D477" s="58" t="s">
        <v>465</v>
      </c>
      <c r="E477" s="53">
        <v>24</v>
      </c>
      <c r="F477" s="9">
        <v>15.92</v>
      </c>
      <c r="G477" s="10">
        <v>16.329999999999998</v>
      </c>
      <c r="H477" s="54">
        <f t="shared" si="22"/>
        <v>391.91999999999996</v>
      </c>
      <c r="I477" s="55">
        <v>0</v>
      </c>
      <c r="J477" s="78">
        <f t="shared" si="23"/>
        <v>391.91999999999996</v>
      </c>
      <c r="K477" s="57">
        <f t="shared" si="24"/>
        <v>382.08</v>
      </c>
    </row>
    <row r="478" spans="1:14" ht="15" x14ac:dyDescent="0.2">
      <c r="A478" s="50" t="s">
        <v>46</v>
      </c>
      <c r="B478" s="51" t="s">
        <v>316</v>
      </c>
      <c r="C478" s="60" t="s">
        <v>429</v>
      </c>
      <c r="D478" s="58" t="s">
        <v>458</v>
      </c>
      <c r="E478" s="53">
        <v>120</v>
      </c>
      <c r="F478" s="9">
        <v>15.92</v>
      </c>
      <c r="G478" s="10">
        <v>16.329999999999998</v>
      </c>
      <c r="H478" s="54">
        <f t="shared" si="22"/>
        <v>1959.6</v>
      </c>
      <c r="I478" s="55">
        <v>0</v>
      </c>
      <c r="J478" s="78">
        <f t="shared" si="23"/>
        <v>1959.6</v>
      </c>
      <c r="K478" s="57">
        <f t="shared" si="24"/>
        <v>1910.4</v>
      </c>
    </row>
    <row r="479" spans="1:14" ht="15" x14ac:dyDescent="0.2">
      <c r="A479" s="50" t="s">
        <v>46</v>
      </c>
      <c r="B479" s="51" t="s">
        <v>335</v>
      </c>
      <c r="C479" s="60" t="s">
        <v>430</v>
      </c>
      <c r="D479" s="58" t="s">
        <v>477</v>
      </c>
      <c r="E479" s="53">
        <v>48</v>
      </c>
      <c r="F479" s="9">
        <v>7.04</v>
      </c>
      <c r="G479" s="10">
        <v>7.54</v>
      </c>
      <c r="H479" s="54">
        <f t="shared" si="22"/>
        <v>361.92</v>
      </c>
      <c r="I479" s="55">
        <v>0</v>
      </c>
      <c r="J479" s="78">
        <f t="shared" si="23"/>
        <v>361.92</v>
      </c>
      <c r="K479" s="57">
        <f t="shared" si="24"/>
        <v>337.92</v>
      </c>
    </row>
    <row r="480" spans="1:14" ht="15" x14ac:dyDescent="0.2">
      <c r="A480" s="50" t="s">
        <v>46</v>
      </c>
      <c r="B480" s="51" t="s">
        <v>326</v>
      </c>
      <c r="C480" s="60"/>
      <c r="D480" s="58" t="s">
        <v>468</v>
      </c>
      <c r="E480" s="53">
        <v>24</v>
      </c>
      <c r="F480" s="9">
        <v>7.04</v>
      </c>
      <c r="G480" s="10">
        <v>7.54</v>
      </c>
      <c r="H480" s="54">
        <f t="shared" si="22"/>
        <v>180.96</v>
      </c>
      <c r="I480" s="55">
        <v>0</v>
      </c>
      <c r="J480" s="78">
        <f t="shared" si="23"/>
        <v>180.96</v>
      </c>
      <c r="K480" s="57">
        <f t="shared" si="24"/>
        <v>168.96</v>
      </c>
    </row>
    <row r="481" spans="1:11" ht="15" x14ac:dyDescent="0.2">
      <c r="A481" s="50" t="s">
        <v>46</v>
      </c>
      <c r="B481" s="51" t="s">
        <v>317</v>
      </c>
      <c r="C481" s="60"/>
      <c r="D481" s="58" t="s">
        <v>459</v>
      </c>
      <c r="E481" s="53">
        <v>12</v>
      </c>
      <c r="F481" s="9">
        <v>59.17</v>
      </c>
      <c r="G481" s="10">
        <v>60</v>
      </c>
      <c r="H481" s="54">
        <f t="shared" si="22"/>
        <v>720</v>
      </c>
      <c r="I481" s="55">
        <v>0</v>
      </c>
      <c r="J481" s="78">
        <f t="shared" si="23"/>
        <v>720</v>
      </c>
      <c r="K481" s="57">
        <f t="shared" si="24"/>
        <v>710.04</v>
      </c>
    </row>
    <row r="482" spans="1:11" ht="15" x14ac:dyDescent="0.2">
      <c r="A482" s="50" t="s">
        <v>46</v>
      </c>
      <c r="B482" s="51" t="s">
        <v>330</v>
      </c>
      <c r="C482" s="60"/>
      <c r="D482" s="58" t="s">
        <v>472</v>
      </c>
      <c r="E482" s="53">
        <v>6</v>
      </c>
      <c r="F482" s="9">
        <v>58.67</v>
      </c>
      <c r="G482" s="10">
        <v>60</v>
      </c>
      <c r="H482" s="54">
        <f t="shared" si="22"/>
        <v>360</v>
      </c>
      <c r="I482" s="55">
        <v>0</v>
      </c>
      <c r="J482" s="78">
        <f t="shared" si="23"/>
        <v>360</v>
      </c>
      <c r="K482" s="57">
        <f t="shared" si="24"/>
        <v>352.02</v>
      </c>
    </row>
    <row r="483" spans="1:11" ht="15" x14ac:dyDescent="0.2">
      <c r="A483" s="50" t="s">
        <v>46</v>
      </c>
      <c r="B483" s="51" t="s">
        <v>318</v>
      </c>
      <c r="C483" s="60"/>
      <c r="D483" s="58" t="s">
        <v>460</v>
      </c>
      <c r="E483" s="53">
        <v>6</v>
      </c>
      <c r="F483" s="9">
        <v>59.17</v>
      </c>
      <c r="G483" s="10">
        <v>60</v>
      </c>
      <c r="H483" s="54">
        <f t="shared" si="22"/>
        <v>360</v>
      </c>
      <c r="I483" s="55">
        <v>0</v>
      </c>
      <c r="J483" s="78">
        <f t="shared" si="23"/>
        <v>360</v>
      </c>
      <c r="K483" s="57">
        <f t="shared" si="24"/>
        <v>355.02</v>
      </c>
    </row>
    <row r="484" spans="1:11" ht="15" x14ac:dyDescent="0.2">
      <c r="A484" s="50" t="s">
        <v>46</v>
      </c>
      <c r="B484" s="51" t="s">
        <v>316</v>
      </c>
      <c r="C484" s="60"/>
      <c r="D484" s="58" t="s">
        <v>458</v>
      </c>
      <c r="E484" s="53">
        <v>96</v>
      </c>
      <c r="F484" s="9">
        <v>15.92</v>
      </c>
      <c r="G484" s="10">
        <v>16.329999999999998</v>
      </c>
      <c r="H484" s="54">
        <f t="shared" si="22"/>
        <v>1567.6799999999998</v>
      </c>
      <c r="I484" s="55">
        <v>0</v>
      </c>
      <c r="J484" s="78">
        <f t="shared" si="23"/>
        <v>1567.6799999999998</v>
      </c>
      <c r="K484" s="57">
        <f t="shared" si="24"/>
        <v>1528.32</v>
      </c>
    </row>
    <row r="485" spans="1:11" ht="15" x14ac:dyDescent="0.2">
      <c r="A485" s="50" t="s">
        <v>46</v>
      </c>
      <c r="B485" s="51" t="s">
        <v>322</v>
      </c>
      <c r="C485" s="60"/>
      <c r="D485" s="58" t="s">
        <v>464</v>
      </c>
      <c r="E485" s="53">
        <v>24</v>
      </c>
      <c r="F485" s="9">
        <v>15.92</v>
      </c>
      <c r="G485" s="10">
        <v>16.329999999999998</v>
      </c>
      <c r="H485" s="54">
        <f t="shared" si="22"/>
        <v>391.91999999999996</v>
      </c>
      <c r="I485" s="55">
        <v>0</v>
      </c>
      <c r="J485" s="78">
        <f t="shared" si="23"/>
        <v>391.91999999999996</v>
      </c>
      <c r="K485" s="57">
        <f t="shared" si="24"/>
        <v>382.08</v>
      </c>
    </row>
    <row r="486" spans="1:11" ht="15" x14ac:dyDescent="0.2">
      <c r="A486" s="50" t="s">
        <v>46</v>
      </c>
      <c r="B486" s="51" t="s">
        <v>320</v>
      </c>
      <c r="C486" s="60"/>
      <c r="D486" s="58" t="s">
        <v>462</v>
      </c>
      <c r="E486" s="53">
        <v>24</v>
      </c>
      <c r="F486" s="9">
        <v>11.58</v>
      </c>
      <c r="G486" s="10">
        <v>12</v>
      </c>
      <c r="H486" s="54">
        <f t="shared" si="22"/>
        <v>288</v>
      </c>
      <c r="I486" s="55">
        <v>0</v>
      </c>
      <c r="J486" s="78">
        <f t="shared" si="23"/>
        <v>288</v>
      </c>
      <c r="K486" s="57">
        <f t="shared" si="24"/>
        <v>277.92</v>
      </c>
    </row>
    <row r="487" spans="1:11" ht="15" x14ac:dyDescent="0.2">
      <c r="A487" s="50" t="s">
        <v>46</v>
      </c>
      <c r="B487" s="51" t="s">
        <v>313</v>
      </c>
      <c r="C487" s="60" t="s">
        <v>431</v>
      </c>
      <c r="D487" s="58" t="s">
        <v>455</v>
      </c>
      <c r="E487" s="53">
        <v>24</v>
      </c>
      <c r="F487" s="9">
        <v>7.04</v>
      </c>
      <c r="G487" s="10">
        <v>7.54</v>
      </c>
      <c r="H487" s="54">
        <f t="shared" si="22"/>
        <v>180.96</v>
      </c>
      <c r="I487" s="55">
        <v>0</v>
      </c>
      <c r="J487" s="78">
        <f t="shared" si="23"/>
        <v>180.96</v>
      </c>
      <c r="K487" s="57">
        <f t="shared" si="24"/>
        <v>168.96</v>
      </c>
    </row>
    <row r="488" spans="1:11" ht="15" x14ac:dyDescent="0.2">
      <c r="A488" s="50" t="s">
        <v>46</v>
      </c>
      <c r="B488" s="51" t="s">
        <v>317</v>
      </c>
      <c r="C488" s="60"/>
      <c r="D488" s="58" t="s">
        <v>459</v>
      </c>
      <c r="E488" s="53">
        <v>2</v>
      </c>
      <c r="F488" s="9">
        <v>59.17</v>
      </c>
      <c r="G488" s="10">
        <v>60</v>
      </c>
      <c r="H488" s="54">
        <f t="shared" si="22"/>
        <v>120</v>
      </c>
      <c r="I488" s="55">
        <v>0</v>
      </c>
      <c r="J488" s="78">
        <f t="shared" si="23"/>
        <v>120</v>
      </c>
      <c r="K488" s="57">
        <f t="shared" si="24"/>
        <v>118.34</v>
      </c>
    </row>
    <row r="489" spans="1:11" ht="15" x14ac:dyDescent="0.2">
      <c r="A489" s="50" t="s">
        <v>46</v>
      </c>
      <c r="B489" s="51" t="s">
        <v>316</v>
      </c>
      <c r="C489" s="60" t="s">
        <v>432</v>
      </c>
      <c r="D489" s="58" t="s">
        <v>458</v>
      </c>
      <c r="E489" s="53">
        <v>12</v>
      </c>
      <c r="F489" s="9">
        <v>15.92</v>
      </c>
      <c r="G489" s="10">
        <v>16.329999999999998</v>
      </c>
      <c r="H489" s="54">
        <f t="shared" si="22"/>
        <v>195.95999999999998</v>
      </c>
      <c r="I489" s="55">
        <v>0</v>
      </c>
      <c r="J489" s="78">
        <f t="shared" si="23"/>
        <v>195.95999999999998</v>
      </c>
      <c r="K489" s="57">
        <f t="shared" si="24"/>
        <v>191.04</v>
      </c>
    </row>
    <row r="490" spans="1:11" ht="15" x14ac:dyDescent="0.2">
      <c r="A490" s="50" t="s">
        <v>46</v>
      </c>
      <c r="B490" s="51" t="s">
        <v>335</v>
      </c>
      <c r="C490" s="60" t="s">
        <v>433</v>
      </c>
      <c r="D490" s="58" t="s">
        <v>477</v>
      </c>
      <c r="E490" s="53">
        <v>24</v>
      </c>
      <c r="F490" s="9">
        <v>7.04</v>
      </c>
      <c r="G490" s="10">
        <v>7.54</v>
      </c>
      <c r="H490" s="54">
        <f t="shared" si="22"/>
        <v>180.96</v>
      </c>
      <c r="I490" s="55">
        <v>0</v>
      </c>
      <c r="J490" s="78">
        <f t="shared" si="23"/>
        <v>180.96</v>
      </c>
      <c r="K490" s="57">
        <f t="shared" si="24"/>
        <v>168.96</v>
      </c>
    </row>
    <row r="491" spans="1:11" ht="15" x14ac:dyDescent="0.2">
      <c r="A491" s="50" t="s">
        <v>46</v>
      </c>
      <c r="B491" s="51" t="s">
        <v>313</v>
      </c>
      <c r="C491" s="60"/>
      <c r="D491" s="58" t="s">
        <v>455</v>
      </c>
      <c r="E491" s="53">
        <v>24</v>
      </c>
      <c r="F491" s="9">
        <v>7.04</v>
      </c>
      <c r="G491" s="10">
        <v>7.54</v>
      </c>
      <c r="H491" s="54">
        <f t="shared" si="22"/>
        <v>180.96</v>
      </c>
      <c r="I491" s="55">
        <v>0</v>
      </c>
      <c r="J491" s="78">
        <f t="shared" si="23"/>
        <v>180.96</v>
      </c>
      <c r="K491" s="57">
        <f t="shared" si="24"/>
        <v>168.96</v>
      </c>
    </row>
    <row r="492" spans="1:11" ht="15" x14ac:dyDescent="0.2">
      <c r="A492" s="50" t="s">
        <v>46</v>
      </c>
      <c r="B492" s="51" t="s">
        <v>326</v>
      </c>
      <c r="C492" s="60"/>
      <c r="D492" s="58" t="s">
        <v>468</v>
      </c>
      <c r="E492" s="53">
        <v>24</v>
      </c>
      <c r="F492" s="9">
        <v>7.04</v>
      </c>
      <c r="G492" s="10">
        <v>7.54</v>
      </c>
      <c r="H492" s="54">
        <f t="shared" si="22"/>
        <v>180.96</v>
      </c>
      <c r="I492" s="55">
        <v>0</v>
      </c>
      <c r="J492" s="78">
        <f t="shared" si="23"/>
        <v>180.96</v>
      </c>
      <c r="K492" s="57">
        <f t="shared" si="24"/>
        <v>168.96</v>
      </c>
    </row>
    <row r="493" spans="1:11" ht="15" x14ac:dyDescent="0.2">
      <c r="A493" s="50" t="s">
        <v>46</v>
      </c>
      <c r="B493" s="51" t="s">
        <v>316</v>
      </c>
      <c r="C493" s="60"/>
      <c r="D493" s="58" t="s">
        <v>458</v>
      </c>
      <c r="E493" s="53">
        <v>24</v>
      </c>
      <c r="F493" s="9">
        <v>15.92</v>
      </c>
      <c r="G493" s="10">
        <v>16.329999999999998</v>
      </c>
      <c r="H493" s="54">
        <f t="shared" si="22"/>
        <v>391.91999999999996</v>
      </c>
      <c r="I493" s="55">
        <v>0</v>
      </c>
      <c r="J493" s="78">
        <f t="shared" si="23"/>
        <v>391.91999999999996</v>
      </c>
      <c r="K493" s="57">
        <f t="shared" si="24"/>
        <v>382.08</v>
      </c>
    </row>
    <row r="494" spans="1:11" ht="15" x14ac:dyDescent="0.2">
      <c r="A494" s="50" t="s">
        <v>46</v>
      </c>
      <c r="B494" s="51" t="s">
        <v>335</v>
      </c>
      <c r="C494" s="60" t="s">
        <v>434</v>
      </c>
      <c r="D494" s="58" t="s">
        <v>477</v>
      </c>
      <c r="E494" s="53">
        <v>48</v>
      </c>
      <c r="F494" s="9">
        <v>7.04</v>
      </c>
      <c r="G494" s="10">
        <v>7.54</v>
      </c>
      <c r="H494" s="54">
        <f t="shared" si="22"/>
        <v>361.92</v>
      </c>
      <c r="I494" s="55">
        <v>0</v>
      </c>
      <c r="J494" s="78">
        <f t="shared" si="23"/>
        <v>361.92</v>
      </c>
      <c r="K494" s="57">
        <f t="shared" si="24"/>
        <v>337.92</v>
      </c>
    </row>
    <row r="495" spans="1:11" ht="15" x14ac:dyDescent="0.2">
      <c r="A495" s="50" t="s">
        <v>46</v>
      </c>
      <c r="B495" s="51" t="s">
        <v>313</v>
      </c>
      <c r="C495" s="60"/>
      <c r="D495" s="58" t="s">
        <v>455</v>
      </c>
      <c r="E495" s="53">
        <v>24</v>
      </c>
      <c r="F495" s="9">
        <v>7.04</v>
      </c>
      <c r="G495" s="10">
        <v>7.54</v>
      </c>
      <c r="H495" s="54">
        <f t="shared" si="22"/>
        <v>180.96</v>
      </c>
      <c r="I495" s="55">
        <v>0</v>
      </c>
      <c r="J495" s="78">
        <f t="shared" si="23"/>
        <v>180.96</v>
      </c>
      <c r="K495" s="57">
        <f t="shared" si="24"/>
        <v>168.96</v>
      </c>
    </row>
    <row r="496" spans="1:11" ht="15" x14ac:dyDescent="0.2">
      <c r="A496" s="50" t="s">
        <v>46</v>
      </c>
      <c r="B496" s="51" t="s">
        <v>326</v>
      </c>
      <c r="C496" s="60"/>
      <c r="D496" s="58" t="s">
        <v>468</v>
      </c>
      <c r="E496" s="53">
        <v>24</v>
      </c>
      <c r="F496" s="9">
        <v>7.04</v>
      </c>
      <c r="G496" s="10">
        <v>7.54</v>
      </c>
      <c r="H496" s="54">
        <f t="shared" si="22"/>
        <v>180.96</v>
      </c>
      <c r="I496" s="55">
        <v>0</v>
      </c>
      <c r="J496" s="78">
        <f t="shared" si="23"/>
        <v>180.96</v>
      </c>
      <c r="K496" s="57">
        <f t="shared" si="24"/>
        <v>168.96</v>
      </c>
    </row>
    <row r="497" spans="1:11" ht="15" x14ac:dyDescent="0.2">
      <c r="A497" s="50" t="s">
        <v>46</v>
      </c>
      <c r="B497" s="51" t="s">
        <v>316</v>
      </c>
      <c r="C497" s="60" t="s">
        <v>435</v>
      </c>
      <c r="D497" s="58" t="s">
        <v>458</v>
      </c>
      <c r="E497" s="53">
        <v>12</v>
      </c>
      <c r="F497" s="9">
        <v>15.92</v>
      </c>
      <c r="G497" s="10">
        <v>16.329999999999998</v>
      </c>
      <c r="H497" s="54">
        <f t="shared" si="22"/>
        <v>195.95999999999998</v>
      </c>
      <c r="I497" s="55">
        <v>0</v>
      </c>
      <c r="J497" s="78">
        <f>(G497*E497)-I497</f>
        <v>195.95999999999998</v>
      </c>
      <c r="K497" s="57">
        <f t="shared" si="24"/>
        <v>191.04</v>
      </c>
    </row>
    <row r="498" spans="1:11" ht="15" x14ac:dyDescent="0.2">
      <c r="A498" s="50" t="s">
        <v>46</v>
      </c>
      <c r="B498" s="51" t="s">
        <v>316</v>
      </c>
      <c r="C498" s="60" t="s">
        <v>436</v>
      </c>
      <c r="D498" s="58" t="s">
        <v>458</v>
      </c>
      <c r="E498" s="53">
        <v>36</v>
      </c>
      <c r="F498" s="9">
        <v>15.92</v>
      </c>
      <c r="G498" s="10">
        <v>16.329999999999998</v>
      </c>
      <c r="H498" s="54">
        <f t="shared" si="22"/>
        <v>587.87999999999988</v>
      </c>
      <c r="I498" s="55">
        <v>0</v>
      </c>
      <c r="J498" s="78">
        <f t="shared" si="23"/>
        <v>587.87999999999988</v>
      </c>
      <c r="K498" s="57">
        <f t="shared" si="24"/>
        <v>573.12</v>
      </c>
    </row>
    <row r="499" spans="1:11" ht="15" x14ac:dyDescent="0.2">
      <c r="A499" s="50" t="s">
        <v>46</v>
      </c>
      <c r="B499" s="51" t="s">
        <v>317</v>
      </c>
      <c r="C499" s="60"/>
      <c r="D499" s="58" t="s">
        <v>459</v>
      </c>
      <c r="E499" s="53">
        <v>6</v>
      </c>
      <c r="F499" s="9">
        <v>59.17</v>
      </c>
      <c r="G499" s="10">
        <v>60</v>
      </c>
      <c r="H499" s="54">
        <f t="shared" si="22"/>
        <v>360</v>
      </c>
      <c r="I499" s="55">
        <v>0</v>
      </c>
      <c r="J499" s="78">
        <f t="shared" si="23"/>
        <v>360</v>
      </c>
      <c r="K499" s="57">
        <f t="shared" si="24"/>
        <v>355.02</v>
      </c>
    </row>
    <row r="500" spans="1:11" ht="15" x14ac:dyDescent="0.2">
      <c r="A500" s="50" t="s">
        <v>46</v>
      </c>
      <c r="B500" s="51" t="s">
        <v>330</v>
      </c>
      <c r="C500" s="60"/>
      <c r="D500" s="58" t="s">
        <v>472</v>
      </c>
      <c r="E500" s="53">
        <v>3</v>
      </c>
      <c r="F500" s="9">
        <v>58.67</v>
      </c>
      <c r="G500" s="10">
        <v>60</v>
      </c>
      <c r="H500" s="54">
        <f t="shared" si="22"/>
        <v>180</v>
      </c>
      <c r="I500" s="55">
        <v>0</v>
      </c>
      <c r="J500" s="78">
        <f t="shared" si="23"/>
        <v>180</v>
      </c>
      <c r="K500" s="57">
        <f t="shared" si="24"/>
        <v>176.01</v>
      </c>
    </row>
    <row r="501" spans="1:11" ht="15" x14ac:dyDescent="0.2">
      <c r="A501" s="50" t="s">
        <v>46</v>
      </c>
      <c r="B501" s="51" t="s">
        <v>318</v>
      </c>
      <c r="C501" s="60"/>
      <c r="D501" s="58" t="s">
        <v>460</v>
      </c>
      <c r="E501" s="53">
        <v>3</v>
      </c>
      <c r="F501" s="9">
        <v>59.17</v>
      </c>
      <c r="G501" s="10">
        <v>60</v>
      </c>
      <c r="H501" s="54">
        <f t="shared" si="22"/>
        <v>180</v>
      </c>
      <c r="I501" s="55">
        <v>0</v>
      </c>
      <c r="J501" s="78">
        <f t="shared" si="23"/>
        <v>180</v>
      </c>
      <c r="K501" s="57">
        <f t="shared" si="24"/>
        <v>177.51</v>
      </c>
    </row>
    <row r="502" spans="1:11" ht="15" x14ac:dyDescent="0.2">
      <c r="A502" s="50" t="s">
        <v>46</v>
      </c>
      <c r="B502" s="51" t="s">
        <v>319</v>
      </c>
      <c r="C502" s="60" t="s">
        <v>437</v>
      </c>
      <c r="D502" s="58" t="s">
        <v>461</v>
      </c>
      <c r="E502" s="53">
        <v>24</v>
      </c>
      <c r="F502" s="9">
        <v>11.58</v>
      </c>
      <c r="G502" s="10">
        <v>12</v>
      </c>
      <c r="H502" s="54">
        <f t="shared" si="22"/>
        <v>288</v>
      </c>
      <c r="I502" s="55">
        <v>0</v>
      </c>
      <c r="J502" s="78">
        <f t="shared" si="23"/>
        <v>288</v>
      </c>
      <c r="K502" s="57">
        <f t="shared" si="24"/>
        <v>277.92</v>
      </c>
    </row>
    <row r="503" spans="1:11" ht="15" x14ac:dyDescent="0.2">
      <c r="A503" s="50" t="s">
        <v>46</v>
      </c>
      <c r="B503" s="51" t="s">
        <v>330</v>
      </c>
      <c r="C503" s="60" t="s">
        <v>438</v>
      </c>
      <c r="D503" s="58" t="s">
        <v>472</v>
      </c>
      <c r="E503" s="53">
        <v>6</v>
      </c>
      <c r="F503" s="9">
        <v>58.67</v>
      </c>
      <c r="G503" s="10">
        <v>60</v>
      </c>
      <c r="H503" s="54">
        <f t="shared" si="22"/>
        <v>360</v>
      </c>
      <c r="I503" s="55">
        <v>0</v>
      </c>
      <c r="J503" s="78">
        <f t="shared" si="23"/>
        <v>360</v>
      </c>
      <c r="K503" s="57">
        <f t="shared" si="24"/>
        <v>352.02</v>
      </c>
    </row>
    <row r="504" spans="1:11" ht="15" x14ac:dyDescent="0.2">
      <c r="A504" s="50" t="s">
        <v>46</v>
      </c>
      <c r="B504" s="51" t="s">
        <v>318</v>
      </c>
      <c r="C504" s="60"/>
      <c r="D504" s="58" t="s">
        <v>460</v>
      </c>
      <c r="E504" s="53">
        <v>6</v>
      </c>
      <c r="F504" s="9">
        <v>59.17</v>
      </c>
      <c r="G504" s="10">
        <v>60</v>
      </c>
      <c r="H504" s="54">
        <f t="shared" si="22"/>
        <v>360</v>
      </c>
      <c r="I504" s="55">
        <v>0</v>
      </c>
      <c r="J504" s="78">
        <f t="shared" si="23"/>
        <v>360</v>
      </c>
      <c r="K504" s="57">
        <f t="shared" si="24"/>
        <v>355.02</v>
      </c>
    </row>
    <row r="505" spans="1:11" ht="15" x14ac:dyDescent="0.2">
      <c r="A505" s="50" t="s">
        <v>46</v>
      </c>
      <c r="B505" s="51" t="s">
        <v>316</v>
      </c>
      <c r="C505" s="60"/>
      <c r="D505" s="58" t="s">
        <v>458</v>
      </c>
      <c r="E505" s="53">
        <v>24</v>
      </c>
      <c r="F505" s="9">
        <v>15.92</v>
      </c>
      <c r="G505" s="10">
        <v>16.329999999999998</v>
      </c>
      <c r="H505" s="54">
        <f t="shared" si="22"/>
        <v>391.91999999999996</v>
      </c>
      <c r="I505" s="55">
        <v>0</v>
      </c>
      <c r="J505" s="78">
        <f t="shared" si="23"/>
        <v>391.91999999999996</v>
      </c>
      <c r="K505" s="57">
        <f t="shared" si="24"/>
        <v>382.08</v>
      </c>
    </row>
    <row r="506" spans="1:11" ht="15" x14ac:dyDescent="0.2">
      <c r="A506" s="50" t="s">
        <v>46</v>
      </c>
      <c r="B506" s="51" t="s">
        <v>313</v>
      </c>
      <c r="C506" s="60" t="s">
        <v>439</v>
      </c>
      <c r="D506" s="58" t="s">
        <v>455</v>
      </c>
      <c r="E506" s="53">
        <v>24</v>
      </c>
      <c r="F506" s="9">
        <v>7.04</v>
      </c>
      <c r="G506" s="10">
        <v>7.54</v>
      </c>
      <c r="H506" s="54">
        <f t="shared" si="22"/>
        <v>180.96</v>
      </c>
      <c r="I506" s="55">
        <v>0</v>
      </c>
      <c r="J506" s="78">
        <f t="shared" si="23"/>
        <v>180.96</v>
      </c>
      <c r="K506" s="57">
        <f t="shared" si="24"/>
        <v>168.96</v>
      </c>
    </row>
    <row r="507" spans="1:11" ht="15" x14ac:dyDescent="0.2">
      <c r="A507" s="50" t="s">
        <v>46</v>
      </c>
      <c r="B507" s="51" t="s">
        <v>335</v>
      </c>
      <c r="C507" s="60"/>
      <c r="D507" s="58" t="s">
        <v>477</v>
      </c>
      <c r="E507" s="53">
        <v>24</v>
      </c>
      <c r="F507" s="9">
        <v>7.04</v>
      </c>
      <c r="G507" s="10">
        <v>7.54</v>
      </c>
      <c r="H507" s="54">
        <f t="shared" si="22"/>
        <v>180.96</v>
      </c>
      <c r="I507" s="55">
        <v>0</v>
      </c>
      <c r="J507" s="78">
        <f t="shared" si="23"/>
        <v>180.96</v>
      </c>
      <c r="K507" s="57">
        <f t="shared" si="24"/>
        <v>168.96</v>
      </c>
    </row>
    <row r="508" spans="1:11" ht="15" x14ac:dyDescent="0.2">
      <c r="A508" s="50" t="s">
        <v>46</v>
      </c>
      <c r="B508" s="51" t="s">
        <v>316</v>
      </c>
      <c r="C508" s="60"/>
      <c r="D508" s="58" t="s">
        <v>458</v>
      </c>
      <c r="E508" s="53">
        <v>24</v>
      </c>
      <c r="F508" s="9">
        <v>15.92</v>
      </c>
      <c r="G508" s="10">
        <v>16.329999999999998</v>
      </c>
      <c r="H508" s="54">
        <f t="shared" si="22"/>
        <v>391.91999999999996</v>
      </c>
      <c r="I508" s="55">
        <v>0</v>
      </c>
      <c r="J508" s="78">
        <f t="shared" si="23"/>
        <v>391.91999999999996</v>
      </c>
      <c r="K508" s="57">
        <f t="shared" si="24"/>
        <v>382.08</v>
      </c>
    </row>
    <row r="509" spans="1:11" ht="15" x14ac:dyDescent="0.2">
      <c r="A509" s="50" t="s">
        <v>46</v>
      </c>
      <c r="B509" s="51" t="s">
        <v>316</v>
      </c>
      <c r="C509" s="60" t="s">
        <v>440</v>
      </c>
      <c r="D509" s="58" t="s">
        <v>458</v>
      </c>
      <c r="E509" s="53">
        <v>60</v>
      </c>
      <c r="F509" s="9">
        <v>15.92</v>
      </c>
      <c r="G509" s="10">
        <v>16.329999999999998</v>
      </c>
      <c r="H509" s="54">
        <f t="shared" si="22"/>
        <v>979.8</v>
      </c>
      <c r="I509" s="55">
        <v>0</v>
      </c>
      <c r="J509" s="78">
        <f t="shared" si="23"/>
        <v>979.8</v>
      </c>
      <c r="K509" s="57">
        <f t="shared" si="24"/>
        <v>955.2</v>
      </c>
    </row>
    <row r="510" spans="1:11" ht="15" x14ac:dyDescent="0.2">
      <c r="A510" s="50" t="s">
        <v>46</v>
      </c>
      <c r="B510" s="51" t="s">
        <v>329</v>
      </c>
      <c r="C510" s="60"/>
      <c r="D510" s="58" t="s">
        <v>471</v>
      </c>
      <c r="E510" s="53">
        <v>6</v>
      </c>
      <c r="F510" s="9">
        <v>21.33</v>
      </c>
      <c r="G510" s="10">
        <v>22.33</v>
      </c>
      <c r="H510" s="54">
        <f t="shared" si="22"/>
        <v>133.97999999999999</v>
      </c>
      <c r="I510" s="55">
        <v>0</v>
      </c>
      <c r="J510" s="78">
        <f t="shared" si="23"/>
        <v>133.97999999999999</v>
      </c>
      <c r="K510" s="57">
        <f t="shared" si="24"/>
        <v>127.97999999999999</v>
      </c>
    </row>
    <row r="511" spans="1:11" ht="15" x14ac:dyDescent="0.2">
      <c r="A511" s="50" t="s">
        <v>46</v>
      </c>
      <c r="B511" s="51" t="s">
        <v>335</v>
      </c>
      <c r="C511" s="60"/>
      <c r="D511" s="58" t="s">
        <v>477</v>
      </c>
      <c r="E511" s="53">
        <v>48</v>
      </c>
      <c r="F511" s="9">
        <v>7.04</v>
      </c>
      <c r="G511" s="10">
        <v>7.54</v>
      </c>
      <c r="H511" s="54">
        <f t="shared" si="22"/>
        <v>361.92</v>
      </c>
      <c r="I511" s="55">
        <v>0</v>
      </c>
      <c r="J511" s="78">
        <f t="shared" si="23"/>
        <v>361.92</v>
      </c>
      <c r="K511" s="57">
        <f t="shared" si="24"/>
        <v>337.92</v>
      </c>
    </row>
    <row r="512" spans="1:11" ht="15" x14ac:dyDescent="0.2">
      <c r="A512" s="50" t="s">
        <v>46</v>
      </c>
      <c r="B512" s="51" t="s">
        <v>317</v>
      </c>
      <c r="C512" s="60" t="s">
        <v>441</v>
      </c>
      <c r="D512" s="58" t="s">
        <v>459</v>
      </c>
      <c r="E512" s="53">
        <v>24</v>
      </c>
      <c r="F512" s="9">
        <v>59.17</v>
      </c>
      <c r="G512" s="10">
        <v>60</v>
      </c>
      <c r="H512" s="54">
        <f t="shared" si="22"/>
        <v>1440</v>
      </c>
      <c r="I512" s="55">
        <v>0</v>
      </c>
      <c r="J512" s="78">
        <f t="shared" si="23"/>
        <v>1440</v>
      </c>
      <c r="K512" s="57">
        <f t="shared" si="24"/>
        <v>1420.08</v>
      </c>
    </row>
    <row r="513" spans="1:11" ht="15" x14ac:dyDescent="0.2">
      <c r="A513" s="50" t="s">
        <v>46</v>
      </c>
      <c r="B513" s="51" t="s">
        <v>316</v>
      </c>
      <c r="C513" s="60"/>
      <c r="D513" s="58" t="s">
        <v>458</v>
      </c>
      <c r="E513" s="53">
        <v>120</v>
      </c>
      <c r="F513" s="9">
        <v>15.92</v>
      </c>
      <c r="G513" s="10">
        <v>16.329999999999998</v>
      </c>
      <c r="H513" s="54">
        <f t="shared" si="22"/>
        <v>1959.6</v>
      </c>
      <c r="I513" s="55">
        <v>0</v>
      </c>
      <c r="J513" s="78">
        <f t="shared" si="23"/>
        <v>1959.6</v>
      </c>
      <c r="K513" s="57">
        <f t="shared" si="24"/>
        <v>1910.4</v>
      </c>
    </row>
    <row r="514" spans="1:11" ht="15" x14ac:dyDescent="0.2">
      <c r="A514" s="50" t="s">
        <v>46</v>
      </c>
      <c r="B514" s="51" t="s">
        <v>322</v>
      </c>
      <c r="C514" s="60"/>
      <c r="D514" s="58" t="s">
        <v>464</v>
      </c>
      <c r="E514" s="53">
        <v>60</v>
      </c>
      <c r="F514" s="9">
        <v>15.92</v>
      </c>
      <c r="G514" s="10">
        <v>16.329999999999998</v>
      </c>
      <c r="H514" s="54">
        <f t="shared" si="22"/>
        <v>979.8</v>
      </c>
      <c r="I514" s="55">
        <v>0</v>
      </c>
      <c r="J514" s="78">
        <f t="shared" si="23"/>
        <v>979.8</v>
      </c>
      <c r="K514" s="57">
        <f t="shared" si="24"/>
        <v>955.2</v>
      </c>
    </row>
    <row r="515" spans="1:11" ht="15" x14ac:dyDescent="0.2">
      <c r="A515" s="50" t="s">
        <v>46</v>
      </c>
      <c r="B515" s="51" t="s">
        <v>335</v>
      </c>
      <c r="C515" s="60" t="s">
        <v>442</v>
      </c>
      <c r="D515" s="58" t="s">
        <v>477</v>
      </c>
      <c r="E515" s="53">
        <v>24</v>
      </c>
      <c r="F515" s="9">
        <v>7.04</v>
      </c>
      <c r="G515" s="10">
        <v>7.54</v>
      </c>
      <c r="H515" s="54">
        <f t="shared" si="22"/>
        <v>180.96</v>
      </c>
      <c r="I515" s="55">
        <v>0</v>
      </c>
      <c r="J515" s="78">
        <f t="shared" si="23"/>
        <v>180.96</v>
      </c>
      <c r="K515" s="57">
        <f t="shared" si="24"/>
        <v>168.96</v>
      </c>
    </row>
    <row r="516" spans="1:11" ht="15" x14ac:dyDescent="0.2">
      <c r="A516" s="50" t="s">
        <v>46</v>
      </c>
      <c r="B516" s="51" t="s">
        <v>329</v>
      </c>
      <c r="C516" s="60"/>
      <c r="D516" s="58" t="s">
        <v>471</v>
      </c>
      <c r="E516" s="53">
        <v>12</v>
      </c>
      <c r="F516" s="9">
        <v>21.33</v>
      </c>
      <c r="G516" s="10">
        <v>22.33</v>
      </c>
      <c r="H516" s="54">
        <f t="shared" si="22"/>
        <v>267.95999999999998</v>
      </c>
      <c r="I516" s="55">
        <v>0</v>
      </c>
      <c r="J516" s="78">
        <f t="shared" si="23"/>
        <v>267.95999999999998</v>
      </c>
      <c r="K516" s="57">
        <f t="shared" si="24"/>
        <v>255.95999999999998</v>
      </c>
    </row>
    <row r="517" spans="1:11" ht="15" x14ac:dyDescent="0.2">
      <c r="A517" s="50" t="s">
        <v>46</v>
      </c>
      <c r="B517" s="51" t="s">
        <v>325</v>
      </c>
      <c r="C517" s="60"/>
      <c r="D517" s="58" t="s">
        <v>467</v>
      </c>
      <c r="E517" s="53">
        <v>12</v>
      </c>
      <c r="F517" s="9">
        <v>21.33</v>
      </c>
      <c r="G517" s="10">
        <v>22.33</v>
      </c>
      <c r="H517" s="54">
        <f t="shared" si="22"/>
        <v>267.95999999999998</v>
      </c>
      <c r="I517" s="55">
        <v>0</v>
      </c>
      <c r="J517" s="78">
        <f t="shared" si="23"/>
        <v>267.95999999999998</v>
      </c>
      <c r="K517" s="57">
        <f t="shared" si="24"/>
        <v>255.95999999999998</v>
      </c>
    </row>
    <row r="518" spans="1:11" ht="15" x14ac:dyDescent="0.2">
      <c r="A518" s="50" t="s">
        <v>46</v>
      </c>
      <c r="B518" s="51" t="s">
        <v>316</v>
      </c>
      <c r="C518" s="60"/>
      <c r="D518" s="58" t="s">
        <v>458</v>
      </c>
      <c r="E518" s="53">
        <v>48</v>
      </c>
      <c r="F518" s="9">
        <v>15.92</v>
      </c>
      <c r="G518" s="10">
        <v>16.329999999999998</v>
      </c>
      <c r="H518" s="54">
        <f t="shared" ref="H518:H581" si="25">E518*G518</f>
        <v>783.83999999999992</v>
      </c>
      <c r="I518" s="55">
        <v>0</v>
      </c>
      <c r="J518" s="78">
        <f t="shared" ref="J518:J581" si="26">(G518*E518)-I518</f>
        <v>783.83999999999992</v>
      </c>
      <c r="K518" s="57">
        <f t="shared" ref="K518:K559" si="27">E518*F518</f>
        <v>764.16</v>
      </c>
    </row>
    <row r="519" spans="1:11" ht="15" x14ac:dyDescent="0.2">
      <c r="A519" s="50" t="s">
        <v>46</v>
      </c>
      <c r="B519" s="51" t="s">
        <v>323</v>
      </c>
      <c r="C519" s="60"/>
      <c r="D519" s="58" t="s">
        <v>465</v>
      </c>
      <c r="E519" s="53">
        <v>12</v>
      </c>
      <c r="F519" s="9">
        <v>15.92</v>
      </c>
      <c r="G519" s="10">
        <v>16.329999999999998</v>
      </c>
      <c r="H519" s="54">
        <f t="shared" si="25"/>
        <v>195.95999999999998</v>
      </c>
      <c r="I519" s="55">
        <v>0</v>
      </c>
      <c r="J519" s="78">
        <f t="shared" si="26"/>
        <v>195.95999999999998</v>
      </c>
      <c r="K519" s="57">
        <f t="shared" si="27"/>
        <v>191.04</v>
      </c>
    </row>
    <row r="520" spans="1:11" ht="15" x14ac:dyDescent="0.2">
      <c r="A520" s="50" t="s">
        <v>46</v>
      </c>
      <c r="B520" s="51" t="s">
        <v>316</v>
      </c>
      <c r="C520" s="60" t="s">
        <v>443</v>
      </c>
      <c r="D520" s="58" t="s">
        <v>458</v>
      </c>
      <c r="E520" s="53">
        <v>60</v>
      </c>
      <c r="F520" s="9">
        <v>15.92</v>
      </c>
      <c r="G520" s="10">
        <v>16.329999999999998</v>
      </c>
      <c r="H520" s="54">
        <f t="shared" si="25"/>
        <v>979.8</v>
      </c>
      <c r="I520" s="55">
        <v>0</v>
      </c>
      <c r="J520" s="78">
        <f t="shared" si="26"/>
        <v>979.8</v>
      </c>
      <c r="K520" s="57">
        <f t="shared" si="27"/>
        <v>955.2</v>
      </c>
    </row>
    <row r="521" spans="1:11" ht="15" x14ac:dyDescent="0.2">
      <c r="A521" s="50" t="s">
        <v>46</v>
      </c>
      <c r="B521" s="51" t="s">
        <v>322</v>
      </c>
      <c r="C521" s="60"/>
      <c r="D521" s="58" t="s">
        <v>464</v>
      </c>
      <c r="E521" s="53">
        <v>36</v>
      </c>
      <c r="F521" s="9">
        <v>15.92</v>
      </c>
      <c r="G521" s="10">
        <v>16.329999999999998</v>
      </c>
      <c r="H521" s="54">
        <f t="shared" si="25"/>
        <v>587.87999999999988</v>
      </c>
      <c r="I521" s="55">
        <v>0</v>
      </c>
      <c r="J521" s="78">
        <f t="shared" si="26"/>
        <v>587.87999999999988</v>
      </c>
      <c r="K521" s="57">
        <f t="shared" si="27"/>
        <v>573.12</v>
      </c>
    </row>
    <row r="522" spans="1:11" ht="15" x14ac:dyDescent="0.2">
      <c r="A522" s="50" t="s">
        <v>46</v>
      </c>
      <c r="B522" s="51" t="s">
        <v>323</v>
      </c>
      <c r="C522" s="60"/>
      <c r="D522" s="58" t="s">
        <v>465</v>
      </c>
      <c r="E522" s="53">
        <v>24</v>
      </c>
      <c r="F522" s="9">
        <v>15.92</v>
      </c>
      <c r="G522" s="10">
        <v>16.329999999999998</v>
      </c>
      <c r="H522" s="54">
        <f t="shared" si="25"/>
        <v>391.91999999999996</v>
      </c>
      <c r="I522" s="55">
        <v>0</v>
      </c>
      <c r="J522" s="78">
        <f t="shared" si="26"/>
        <v>391.91999999999996</v>
      </c>
      <c r="K522" s="57">
        <f t="shared" si="27"/>
        <v>382.08</v>
      </c>
    </row>
    <row r="523" spans="1:11" ht="15" x14ac:dyDescent="0.2">
      <c r="A523" s="50" t="s">
        <v>46</v>
      </c>
      <c r="B523" s="51" t="s">
        <v>317</v>
      </c>
      <c r="C523" s="60" t="s">
        <v>444</v>
      </c>
      <c r="D523" s="58" t="s">
        <v>459</v>
      </c>
      <c r="E523" s="53">
        <v>24</v>
      </c>
      <c r="F523" s="9">
        <v>59.17</v>
      </c>
      <c r="G523" s="10">
        <v>60</v>
      </c>
      <c r="H523" s="54">
        <f t="shared" si="25"/>
        <v>1440</v>
      </c>
      <c r="I523" s="55">
        <v>0</v>
      </c>
      <c r="J523" s="78">
        <f t="shared" si="26"/>
        <v>1440</v>
      </c>
      <c r="K523" s="57">
        <f t="shared" si="27"/>
        <v>1420.08</v>
      </c>
    </row>
    <row r="524" spans="1:11" ht="15" x14ac:dyDescent="0.2">
      <c r="A524" s="50" t="s">
        <v>46</v>
      </c>
      <c r="B524" s="51" t="s">
        <v>335</v>
      </c>
      <c r="C524" s="60"/>
      <c r="D524" s="58" t="s">
        <v>477</v>
      </c>
      <c r="E524" s="53">
        <v>72</v>
      </c>
      <c r="F524" s="9">
        <v>7.04</v>
      </c>
      <c r="G524" s="10">
        <v>7.54</v>
      </c>
      <c r="H524" s="54">
        <f t="shared" si="25"/>
        <v>542.88</v>
      </c>
      <c r="I524" s="55">
        <v>0</v>
      </c>
      <c r="J524" s="78">
        <f t="shared" si="26"/>
        <v>542.88</v>
      </c>
      <c r="K524" s="57">
        <f t="shared" si="27"/>
        <v>506.88</v>
      </c>
    </row>
    <row r="525" spans="1:11" ht="15" x14ac:dyDescent="0.2">
      <c r="A525" s="50" t="s">
        <v>46</v>
      </c>
      <c r="B525" s="51" t="s">
        <v>313</v>
      </c>
      <c r="C525" s="60"/>
      <c r="D525" s="58" t="s">
        <v>455</v>
      </c>
      <c r="E525" s="53">
        <v>24</v>
      </c>
      <c r="F525" s="9">
        <v>7.04</v>
      </c>
      <c r="G525" s="10">
        <v>7.54</v>
      </c>
      <c r="H525" s="54">
        <f t="shared" si="25"/>
        <v>180.96</v>
      </c>
      <c r="I525" s="55">
        <v>0</v>
      </c>
      <c r="J525" s="78">
        <f t="shared" si="26"/>
        <v>180.96</v>
      </c>
      <c r="K525" s="57">
        <f t="shared" si="27"/>
        <v>168.96</v>
      </c>
    </row>
    <row r="526" spans="1:11" ht="15" x14ac:dyDescent="0.2">
      <c r="A526" s="50" t="s">
        <v>46</v>
      </c>
      <c r="B526" s="51" t="s">
        <v>316</v>
      </c>
      <c r="C526" s="60"/>
      <c r="D526" s="58" t="s">
        <v>458</v>
      </c>
      <c r="E526" s="53">
        <v>72</v>
      </c>
      <c r="F526" s="9">
        <v>15.92</v>
      </c>
      <c r="G526" s="10">
        <v>16.329999999999998</v>
      </c>
      <c r="H526" s="54">
        <f t="shared" si="25"/>
        <v>1175.7599999999998</v>
      </c>
      <c r="I526" s="55">
        <v>0</v>
      </c>
      <c r="J526" s="78">
        <f t="shared" si="26"/>
        <v>1175.7599999999998</v>
      </c>
      <c r="K526" s="57">
        <f t="shared" si="27"/>
        <v>1146.24</v>
      </c>
    </row>
    <row r="527" spans="1:11" ht="15" x14ac:dyDescent="0.2">
      <c r="A527" s="50" t="s">
        <v>46</v>
      </c>
      <c r="B527" s="51" t="s">
        <v>319</v>
      </c>
      <c r="C527" s="60" t="s">
        <v>445</v>
      </c>
      <c r="D527" s="58" t="s">
        <v>461</v>
      </c>
      <c r="E527" s="53">
        <v>60</v>
      </c>
      <c r="F527" s="9">
        <v>11.58</v>
      </c>
      <c r="G527" s="10">
        <v>12</v>
      </c>
      <c r="H527" s="54">
        <f t="shared" si="25"/>
        <v>720</v>
      </c>
      <c r="I527" s="55">
        <v>0</v>
      </c>
      <c r="J527" s="78">
        <f t="shared" si="26"/>
        <v>720</v>
      </c>
      <c r="K527" s="57">
        <f t="shared" si="27"/>
        <v>694.8</v>
      </c>
    </row>
    <row r="528" spans="1:11" ht="15" x14ac:dyDescent="0.2">
      <c r="A528" s="50" t="s">
        <v>46</v>
      </c>
      <c r="B528" s="51" t="s">
        <v>320</v>
      </c>
      <c r="C528" s="60"/>
      <c r="D528" s="58" t="s">
        <v>462</v>
      </c>
      <c r="E528" s="53">
        <v>36</v>
      </c>
      <c r="F528" s="9">
        <v>11.58</v>
      </c>
      <c r="G528" s="10">
        <v>12</v>
      </c>
      <c r="H528" s="54">
        <f t="shared" si="25"/>
        <v>432</v>
      </c>
      <c r="I528" s="55">
        <v>0</v>
      </c>
      <c r="J528" s="78">
        <f t="shared" si="26"/>
        <v>432</v>
      </c>
      <c r="K528" s="57">
        <f t="shared" si="27"/>
        <v>416.88</v>
      </c>
    </row>
    <row r="529" spans="1:11" ht="15" x14ac:dyDescent="0.2">
      <c r="A529" s="50" t="s">
        <v>46</v>
      </c>
      <c r="B529" s="51" t="s">
        <v>336</v>
      </c>
      <c r="C529" s="60"/>
      <c r="D529" s="58" t="s">
        <v>478</v>
      </c>
      <c r="E529" s="53">
        <v>36</v>
      </c>
      <c r="F529" s="9">
        <v>11.58</v>
      </c>
      <c r="G529" s="10">
        <v>12</v>
      </c>
      <c r="H529" s="54">
        <f t="shared" si="25"/>
        <v>432</v>
      </c>
      <c r="I529" s="55">
        <v>0</v>
      </c>
      <c r="J529" s="78">
        <f t="shared" si="26"/>
        <v>432</v>
      </c>
      <c r="K529" s="57">
        <f t="shared" si="27"/>
        <v>416.88</v>
      </c>
    </row>
    <row r="530" spans="1:11" ht="15" x14ac:dyDescent="0.2">
      <c r="A530" s="50" t="s">
        <v>46</v>
      </c>
      <c r="B530" s="51" t="s">
        <v>316</v>
      </c>
      <c r="C530" s="60"/>
      <c r="D530" s="58" t="s">
        <v>458</v>
      </c>
      <c r="E530" s="53">
        <v>60</v>
      </c>
      <c r="F530" s="9">
        <v>15.92</v>
      </c>
      <c r="G530" s="10">
        <v>16.329999999999998</v>
      </c>
      <c r="H530" s="54">
        <f t="shared" si="25"/>
        <v>979.8</v>
      </c>
      <c r="I530" s="55">
        <v>0</v>
      </c>
      <c r="J530" s="78">
        <f t="shared" si="26"/>
        <v>979.8</v>
      </c>
      <c r="K530" s="57">
        <f t="shared" si="27"/>
        <v>955.2</v>
      </c>
    </row>
    <row r="531" spans="1:11" ht="15" x14ac:dyDescent="0.2">
      <c r="A531" s="50" t="s">
        <v>46</v>
      </c>
      <c r="B531" s="51" t="s">
        <v>322</v>
      </c>
      <c r="C531" s="60"/>
      <c r="D531" s="58" t="s">
        <v>464</v>
      </c>
      <c r="E531" s="53">
        <v>24</v>
      </c>
      <c r="F531" s="9">
        <v>15.92</v>
      </c>
      <c r="G531" s="10">
        <v>16.329999999999998</v>
      </c>
      <c r="H531" s="54">
        <f t="shared" si="25"/>
        <v>391.91999999999996</v>
      </c>
      <c r="I531" s="55">
        <v>0</v>
      </c>
      <c r="J531" s="78">
        <f t="shared" si="26"/>
        <v>391.91999999999996</v>
      </c>
      <c r="K531" s="57">
        <f t="shared" si="27"/>
        <v>382.08</v>
      </c>
    </row>
    <row r="532" spans="1:11" ht="15" x14ac:dyDescent="0.2">
      <c r="A532" s="50" t="s">
        <v>46</v>
      </c>
      <c r="B532" s="51" t="s">
        <v>323</v>
      </c>
      <c r="C532" s="60"/>
      <c r="D532" s="58" t="s">
        <v>465</v>
      </c>
      <c r="E532" s="53">
        <v>24</v>
      </c>
      <c r="F532" s="9">
        <v>15.92</v>
      </c>
      <c r="G532" s="10">
        <v>16.329999999999998</v>
      </c>
      <c r="H532" s="54">
        <f t="shared" si="25"/>
        <v>391.91999999999996</v>
      </c>
      <c r="I532" s="55">
        <v>0</v>
      </c>
      <c r="J532" s="78">
        <f t="shared" si="26"/>
        <v>391.91999999999996</v>
      </c>
      <c r="K532" s="57">
        <f t="shared" si="27"/>
        <v>382.08</v>
      </c>
    </row>
    <row r="533" spans="1:11" ht="15" x14ac:dyDescent="0.2">
      <c r="A533" s="50" t="s">
        <v>46</v>
      </c>
      <c r="B533" s="51" t="s">
        <v>316</v>
      </c>
      <c r="C533" s="60" t="s">
        <v>446</v>
      </c>
      <c r="D533" s="58" t="s">
        <v>458</v>
      </c>
      <c r="E533" s="53">
        <v>48</v>
      </c>
      <c r="F533" s="9">
        <v>15.92</v>
      </c>
      <c r="G533" s="10">
        <v>16.329999999999998</v>
      </c>
      <c r="H533" s="54">
        <f t="shared" si="25"/>
        <v>783.83999999999992</v>
      </c>
      <c r="I533" s="55">
        <v>0</v>
      </c>
      <c r="J533" s="78">
        <f t="shared" si="26"/>
        <v>783.83999999999992</v>
      </c>
      <c r="K533" s="57">
        <f t="shared" si="27"/>
        <v>764.16</v>
      </c>
    </row>
    <row r="534" spans="1:11" ht="15" x14ac:dyDescent="0.2">
      <c r="A534" s="50" t="s">
        <v>46</v>
      </c>
      <c r="B534" s="51" t="s">
        <v>319</v>
      </c>
      <c r="C534" s="60" t="s">
        <v>447</v>
      </c>
      <c r="D534" s="58" t="s">
        <v>461</v>
      </c>
      <c r="E534" s="53">
        <v>72</v>
      </c>
      <c r="F534" s="9">
        <v>11.58</v>
      </c>
      <c r="G534" s="10">
        <v>12</v>
      </c>
      <c r="H534" s="54">
        <f t="shared" si="25"/>
        <v>864</v>
      </c>
      <c r="I534" s="55">
        <v>0</v>
      </c>
      <c r="J534" s="78">
        <f t="shared" si="26"/>
        <v>864</v>
      </c>
      <c r="K534" s="57">
        <f t="shared" si="27"/>
        <v>833.76</v>
      </c>
    </row>
    <row r="535" spans="1:11" ht="15" x14ac:dyDescent="0.2">
      <c r="A535" s="50" t="s">
        <v>46</v>
      </c>
      <c r="B535" s="51" t="s">
        <v>320</v>
      </c>
      <c r="C535" s="60"/>
      <c r="D535" s="58" t="s">
        <v>462</v>
      </c>
      <c r="E535" s="53">
        <v>24</v>
      </c>
      <c r="F535" s="9">
        <v>11.58</v>
      </c>
      <c r="G535" s="10">
        <v>12</v>
      </c>
      <c r="H535" s="54">
        <f t="shared" si="25"/>
        <v>288</v>
      </c>
      <c r="I535" s="55">
        <v>0</v>
      </c>
      <c r="J535" s="78">
        <f t="shared" si="26"/>
        <v>288</v>
      </c>
      <c r="K535" s="57">
        <f t="shared" si="27"/>
        <v>277.92</v>
      </c>
    </row>
    <row r="536" spans="1:11" ht="15" x14ac:dyDescent="0.2">
      <c r="A536" s="50" t="s">
        <v>46</v>
      </c>
      <c r="B536" s="51" t="s">
        <v>336</v>
      </c>
      <c r="C536" s="60"/>
      <c r="D536" s="58" t="s">
        <v>478</v>
      </c>
      <c r="E536" s="53">
        <v>24</v>
      </c>
      <c r="F536" s="9">
        <v>11.58</v>
      </c>
      <c r="G536" s="10">
        <v>12</v>
      </c>
      <c r="H536" s="54">
        <f t="shared" si="25"/>
        <v>288</v>
      </c>
      <c r="I536" s="55">
        <v>0</v>
      </c>
      <c r="J536" s="78">
        <f t="shared" si="26"/>
        <v>288</v>
      </c>
      <c r="K536" s="57">
        <f t="shared" si="27"/>
        <v>277.92</v>
      </c>
    </row>
    <row r="537" spans="1:11" ht="15" x14ac:dyDescent="0.2">
      <c r="A537" s="50" t="s">
        <v>46</v>
      </c>
      <c r="B537" s="51" t="s">
        <v>317</v>
      </c>
      <c r="C537" s="60"/>
      <c r="D537" s="58" t="s">
        <v>459</v>
      </c>
      <c r="E537" s="53">
        <v>12</v>
      </c>
      <c r="F537" s="9">
        <v>59.17</v>
      </c>
      <c r="G537" s="10">
        <v>60</v>
      </c>
      <c r="H537" s="54">
        <f t="shared" si="25"/>
        <v>720</v>
      </c>
      <c r="I537" s="55">
        <v>0</v>
      </c>
      <c r="J537" s="78">
        <f t="shared" si="26"/>
        <v>720</v>
      </c>
      <c r="K537" s="57">
        <f t="shared" si="27"/>
        <v>710.04</v>
      </c>
    </row>
    <row r="538" spans="1:11" ht="15" x14ac:dyDescent="0.2">
      <c r="A538" s="50" t="s">
        <v>46</v>
      </c>
      <c r="B538" s="51" t="s">
        <v>316</v>
      </c>
      <c r="C538" s="60"/>
      <c r="D538" s="58" t="s">
        <v>458</v>
      </c>
      <c r="E538" s="53">
        <v>36</v>
      </c>
      <c r="F538" s="9">
        <v>15.92</v>
      </c>
      <c r="G538" s="10">
        <v>16.329999999999998</v>
      </c>
      <c r="H538" s="54">
        <f t="shared" si="25"/>
        <v>587.87999999999988</v>
      </c>
      <c r="I538" s="55">
        <v>0</v>
      </c>
      <c r="J538" s="78">
        <f t="shared" si="26"/>
        <v>587.87999999999988</v>
      </c>
      <c r="K538" s="57">
        <f t="shared" si="27"/>
        <v>573.12</v>
      </c>
    </row>
    <row r="539" spans="1:11" ht="15" x14ac:dyDescent="0.2">
      <c r="A539" s="50" t="s">
        <v>46</v>
      </c>
      <c r="B539" s="51" t="s">
        <v>323</v>
      </c>
      <c r="C539" s="60"/>
      <c r="D539" s="58" t="s">
        <v>465</v>
      </c>
      <c r="E539" s="53">
        <v>36</v>
      </c>
      <c r="F539" s="9">
        <v>15.92</v>
      </c>
      <c r="G539" s="10">
        <v>16.329999999999998</v>
      </c>
      <c r="H539" s="54">
        <f t="shared" si="25"/>
        <v>587.87999999999988</v>
      </c>
      <c r="I539" s="55">
        <v>0</v>
      </c>
      <c r="J539" s="78">
        <f t="shared" si="26"/>
        <v>587.87999999999988</v>
      </c>
      <c r="K539" s="57">
        <f t="shared" si="27"/>
        <v>573.12</v>
      </c>
    </row>
    <row r="540" spans="1:11" ht="15" x14ac:dyDescent="0.2">
      <c r="A540" s="50" t="s">
        <v>46</v>
      </c>
      <c r="B540" s="51" t="s">
        <v>335</v>
      </c>
      <c r="C540" s="60"/>
      <c r="D540" s="58" t="s">
        <v>477</v>
      </c>
      <c r="E540" s="53">
        <v>24</v>
      </c>
      <c r="F540" s="9">
        <v>7.04</v>
      </c>
      <c r="G540" s="10">
        <v>7.54</v>
      </c>
      <c r="H540" s="54">
        <f t="shared" si="25"/>
        <v>180.96</v>
      </c>
      <c r="I540" s="55">
        <v>0</v>
      </c>
      <c r="J540" s="78">
        <f t="shared" si="26"/>
        <v>180.96</v>
      </c>
      <c r="K540" s="57">
        <f t="shared" si="27"/>
        <v>168.96</v>
      </c>
    </row>
    <row r="541" spans="1:11" ht="15" x14ac:dyDescent="0.2">
      <c r="A541" s="50" t="s">
        <v>46</v>
      </c>
      <c r="B541" s="51" t="s">
        <v>322</v>
      </c>
      <c r="C541" s="60" t="s">
        <v>448</v>
      </c>
      <c r="D541" s="58" t="s">
        <v>464</v>
      </c>
      <c r="E541" s="53">
        <v>24</v>
      </c>
      <c r="F541" s="9">
        <v>15.92</v>
      </c>
      <c r="G541" s="10">
        <v>16.329999999999998</v>
      </c>
      <c r="H541" s="54">
        <f t="shared" si="25"/>
        <v>391.91999999999996</v>
      </c>
      <c r="I541" s="55">
        <v>0</v>
      </c>
      <c r="J541" s="78">
        <f t="shared" si="26"/>
        <v>391.91999999999996</v>
      </c>
      <c r="K541" s="57">
        <f t="shared" si="27"/>
        <v>382.08</v>
      </c>
    </row>
    <row r="542" spans="1:11" ht="15" x14ac:dyDescent="0.2">
      <c r="A542" s="50" t="s">
        <v>46</v>
      </c>
      <c r="B542" s="51" t="s">
        <v>323</v>
      </c>
      <c r="C542" s="60"/>
      <c r="D542" s="58" t="s">
        <v>465</v>
      </c>
      <c r="E542" s="53">
        <v>36</v>
      </c>
      <c r="F542" s="9">
        <v>15.92</v>
      </c>
      <c r="G542" s="10">
        <v>16.329999999999998</v>
      </c>
      <c r="H542" s="54">
        <f t="shared" si="25"/>
        <v>587.87999999999988</v>
      </c>
      <c r="I542" s="55">
        <v>0</v>
      </c>
      <c r="J542" s="78">
        <f t="shared" si="26"/>
        <v>587.87999999999988</v>
      </c>
      <c r="K542" s="57">
        <f t="shared" si="27"/>
        <v>573.12</v>
      </c>
    </row>
    <row r="543" spans="1:11" ht="15" x14ac:dyDescent="0.2">
      <c r="A543" s="50" t="s">
        <v>46</v>
      </c>
      <c r="B543" s="51" t="s">
        <v>317</v>
      </c>
      <c r="C543" s="60"/>
      <c r="D543" s="58" t="s">
        <v>459</v>
      </c>
      <c r="E543" s="53">
        <v>12</v>
      </c>
      <c r="F543" s="9">
        <v>59.17</v>
      </c>
      <c r="G543" s="10">
        <v>60</v>
      </c>
      <c r="H543" s="54">
        <f t="shared" si="25"/>
        <v>720</v>
      </c>
      <c r="I543" s="55">
        <v>0</v>
      </c>
      <c r="J543" s="78">
        <f t="shared" si="26"/>
        <v>720</v>
      </c>
      <c r="K543" s="57">
        <f t="shared" si="27"/>
        <v>710.04</v>
      </c>
    </row>
    <row r="544" spans="1:11" ht="15" x14ac:dyDescent="0.2">
      <c r="A544" s="50" t="s">
        <v>46</v>
      </c>
      <c r="B544" s="51" t="s">
        <v>330</v>
      </c>
      <c r="C544" s="60"/>
      <c r="D544" s="58" t="s">
        <v>472</v>
      </c>
      <c r="E544" s="53">
        <v>3</v>
      </c>
      <c r="F544" s="9">
        <v>58.67</v>
      </c>
      <c r="G544" s="10">
        <v>60</v>
      </c>
      <c r="H544" s="54">
        <f t="shared" si="25"/>
        <v>180</v>
      </c>
      <c r="I544" s="55">
        <v>0</v>
      </c>
      <c r="J544" s="78">
        <f t="shared" si="26"/>
        <v>180</v>
      </c>
      <c r="K544" s="57">
        <f t="shared" si="27"/>
        <v>176.01</v>
      </c>
    </row>
    <row r="545" spans="1:14" ht="15" x14ac:dyDescent="0.2">
      <c r="A545" s="50" t="s">
        <v>46</v>
      </c>
      <c r="B545" s="51" t="s">
        <v>328</v>
      </c>
      <c r="C545" s="60"/>
      <c r="D545" s="58" t="s">
        <v>470</v>
      </c>
      <c r="E545" s="53">
        <v>3</v>
      </c>
      <c r="F545" s="9">
        <v>59.17</v>
      </c>
      <c r="G545" s="10">
        <v>60</v>
      </c>
      <c r="H545" s="54">
        <f t="shared" si="25"/>
        <v>180</v>
      </c>
      <c r="I545" s="55">
        <v>0</v>
      </c>
      <c r="J545" s="78">
        <f t="shared" si="26"/>
        <v>180</v>
      </c>
      <c r="K545" s="57">
        <f t="shared" si="27"/>
        <v>177.51</v>
      </c>
    </row>
    <row r="546" spans="1:14" ht="15" x14ac:dyDescent="0.2">
      <c r="A546" s="50" t="s">
        <v>46</v>
      </c>
      <c r="B546" s="51" t="s">
        <v>318</v>
      </c>
      <c r="C546" s="60"/>
      <c r="D546" s="58" t="s">
        <v>460</v>
      </c>
      <c r="E546" s="53">
        <v>6</v>
      </c>
      <c r="F546" s="9">
        <v>59.17</v>
      </c>
      <c r="G546" s="10">
        <v>60</v>
      </c>
      <c r="H546" s="54">
        <f t="shared" si="25"/>
        <v>360</v>
      </c>
      <c r="I546" s="55">
        <v>0</v>
      </c>
      <c r="J546" s="78">
        <f t="shared" si="26"/>
        <v>360</v>
      </c>
      <c r="K546" s="57">
        <f t="shared" si="27"/>
        <v>355.02</v>
      </c>
    </row>
    <row r="547" spans="1:14" ht="15" x14ac:dyDescent="0.2">
      <c r="A547" s="50" t="s">
        <v>46</v>
      </c>
      <c r="B547" s="51" t="s">
        <v>319</v>
      </c>
      <c r="C547" s="60"/>
      <c r="D547" s="58" t="s">
        <v>461</v>
      </c>
      <c r="E547" s="53">
        <v>48</v>
      </c>
      <c r="F547" s="9">
        <v>11.58</v>
      </c>
      <c r="G547" s="10">
        <v>12</v>
      </c>
      <c r="H547" s="54">
        <f t="shared" si="25"/>
        <v>576</v>
      </c>
      <c r="I547" s="55">
        <v>0</v>
      </c>
      <c r="J547" s="78">
        <f t="shared" si="26"/>
        <v>576</v>
      </c>
      <c r="K547" s="57">
        <f t="shared" si="27"/>
        <v>555.84</v>
      </c>
    </row>
    <row r="548" spans="1:14" ht="15" x14ac:dyDescent="0.2">
      <c r="A548" s="50" t="s">
        <v>46</v>
      </c>
      <c r="B548" s="51" t="s">
        <v>335</v>
      </c>
      <c r="C548" s="60"/>
      <c r="D548" s="58" t="s">
        <v>477</v>
      </c>
      <c r="E548" s="53">
        <v>24</v>
      </c>
      <c r="F548" s="9">
        <v>7.04</v>
      </c>
      <c r="G548" s="10">
        <v>7.54</v>
      </c>
      <c r="H548" s="54">
        <f t="shared" si="25"/>
        <v>180.96</v>
      </c>
      <c r="I548" s="55">
        <v>0</v>
      </c>
      <c r="J548" s="78">
        <f t="shared" si="26"/>
        <v>180.96</v>
      </c>
      <c r="K548" s="57">
        <f t="shared" si="27"/>
        <v>168.96</v>
      </c>
    </row>
    <row r="549" spans="1:14" ht="15" x14ac:dyDescent="0.2">
      <c r="A549" s="50" t="s">
        <v>46</v>
      </c>
      <c r="B549" s="51" t="s">
        <v>317</v>
      </c>
      <c r="C549" s="60" t="s">
        <v>449</v>
      </c>
      <c r="D549" s="58" t="s">
        <v>459</v>
      </c>
      <c r="E549" s="53">
        <v>24</v>
      </c>
      <c r="F549" s="9">
        <v>59.17</v>
      </c>
      <c r="G549" s="10">
        <v>60</v>
      </c>
      <c r="H549" s="54">
        <f t="shared" si="25"/>
        <v>1440</v>
      </c>
      <c r="I549" s="55">
        <v>0</v>
      </c>
      <c r="J549" s="78">
        <f t="shared" si="26"/>
        <v>1440</v>
      </c>
      <c r="K549" s="57">
        <f t="shared" si="27"/>
        <v>1420.08</v>
      </c>
    </row>
    <row r="550" spans="1:14" ht="15" x14ac:dyDescent="0.2">
      <c r="A550" s="50" t="s">
        <v>46</v>
      </c>
      <c r="B550" s="51" t="s">
        <v>319</v>
      </c>
      <c r="C550" s="60"/>
      <c r="D550" s="58" t="s">
        <v>461</v>
      </c>
      <c r="E550" s="53">
        <v>24</v>
      </c>
      <c r="F550" s="9">
        <v>11.58</v>
      </c>
      <c r="G550" s="10">
        <v>12</v>
      </c>
      <c r="H550" s="54">
        <f t="shared" si="25"/>
        <v>288</v>
      </c>
      <c r="I550" s="55">
        <v>0</v>
      </c>
      <c r="J550" s="78">
        <f t="shared" si="26"/>
        <v>288</v>
      </c>
      <c r="K550" s="57">
        <f t="shared" si="27"/>
        <v>277.92</v>
      </c>
    </row>
    <row r="551" spans="1:14" ht="15" x14ac:dyDescent="0.2">
      <c r="A551" s="50" t="s">
        <v>46</v>
      </c>
      <c r="B551" s="51" t="s">
        <v>336</v>
      </c>
      <c r="C551" s="60"/>
      <c r="D551" s="58" t="s">
        <v>478</v>
      </c>
      <c r="E551" s="53">
        <v>12</v>
      </c>
      <c r="F551" s="9">
        <v>11.58</v>
      </c>
      <c r="G551" s="10">
        <v>12</v>
      </c>
      <c r="H551" s="54">
        <f t="shared" si="25"/>
        <v>144</v>
      </c>
      <c r="I551" s="55">
        <v>0</v>
      </c>
      <c r="J551" s="78">
        <f t="shared" si="26"/>
        <v>144</v>
      </c>
      <c r="K551" s="57">
        <f t="shared" si="27"/>
        <v>138.96</v>
      </c>
    </row>
    <row r="552" spans="1:14" ht="15" x14ac:dyDescent="0.2">
      <c r="A552" s="50" t="s">
        <v>46</v>
      </c>
      <c r="B552" s="51" t="s">
        <v>317</v>
      </c>
      <c r="C552" s="60" t="s">
        <v>450</v>
      </c>
      <c r="D552" s="58" t="s">
        <v>459</v>
      </c>
      <c r="E552" s="53">
        <v>6</v>
      </c>
      <c r="F552" s="9">
        <v>59.17</v>
      </c>
      <c r="G552" s="10">
        <v>60</v>
      </c>
      <c r="H552" s="54">
        <f t="shared" si="25"/>
        <v>360</v>
      </c>
      <c r="I552" s="55">
        <v>0</v>
      </c>
      <c r="J552" s="78">
        <f t="shared" si="26"/>
        <v>360</v>
      </c>
      <c r="K552" s="57">
        <f t="shared" si="27"/>
        <v>355.02</v>
      </c>
    </row>
    <row r="553" spans="1:14" ht="15" x14ac:dyDescent="0.2">
      <c r="A553" s="50" t="s">
        <v>46</v>
      </c>
      <c r="B553" s="51" t="s">
        <v>318</v>
      </c>
      <c r="C553" s="60"/>
      <c r="D553" s="58" t="s">
        <v>460</v>
      </c>
      <c r="E553" s="53">
        <v>6</v>
      </c>
      <c r="F553" s="9">
        <v>59.17</v>
      </c>
      <c r="G553" s="10">
        <v>60</v>
      </c>
      <c r="H553" s="54">
        <f t="shared" si="25"/>
        <v>360</v>
      </c>
      <c r="I553" s="55">
        <v>0</v>
      </c>
      <c r="J553" s="78">
        <f t="shared" si="26"/>
        <v>360</v>
      </c>
      <c r="K553" s="57">
        <f t="shared" si="27"/>
        <v>355.02</v>
      </c>
    </row>
    <row r="554" spans="1:14" ht="15" x14ac:dyDescent="0.2">
      <c r="A554" s="50" t="s">
        <v>46</v>
      </c>
      <c r="B554" s="51" t="s">
        <v>319</v>
      </c>
      <c r="C554" s="60"/>
      <c r="D554" s="58" t="s">
        <v>461</v>
      </c>
      <c r="E554" s="53">
        <v>60</v>
      </c>
      <c r="F554" s="9">
        <v>11.58</v>
      </c>
      <c r="G554" s="10">
        <v>12</v>
      </c>
      <c r="H554" s="54">
        <f t="shared" si="25"/>
        <v>720</v>
      </c>
      <c r="I554" s="55">
        <v>0</v>
      </c>
      <c r="J554" s="78">
        <f t="shared" si="26"/>
        <v>720</v>
      </c>
      <c r="K554" s="57">
        <f t="shared" si="27"/>
        <v>694.8</v>
      </c>
    </row>
    <row r="555" spans="1:14" ht="15" x14ac:dyDescent="0.2">
      <c r="A555" s="50" t="s">
        <v>46</v>
      </c>
      <c r="B555" s="51" t="s">
        <v>335</v>
      </c>
      <c r="C555" s="60"/>
      <c r="D555" s="58" t="s">
        <v>477</v>
      </c>
      <c r="E555" s="53">
        <v>24</v>
      </c>
      <c r="F555" s="9">
        <v>7.04</v>
      </c>
      <c r="G555" s="10">
        <v>7.54</v>
      </c>
      <c r="H555" s="54">
        <f t="shared" si="25"/>
        <v>180.96</v>
      </c>
      <c r="I555" s="55">
        <v>0</v>
      </c>
      <c r="J555" s="78">
        <f t="shared" si="26"/>
        <v>180.96</v>
      </c>
      <c r="K555" s="57">
        <f t="shared" si="27"/>
        <v>168.96</v>
      </c>
    </row>
    <row r="556" spans="1:14" ht="15" x14ac:dyDescent="0.2">
      <c r="A556" s="50" t="s">
        <v>46</v>
      </c>
      <c r="B556" s="51" t="s">
        <v>313</v>
      </c>
      <c r="C556" s="60"/>
      <c r="D556" s="58" t="s">
        <v>455</v>
      </c>
      <c r="E556" s="53">
        <v>24</v>
      </c>
      <c r="F556" s="9">
        <v>7.04</v>
      </c>
      <c r="G556" s="10">
        <v>7.54</v>
      </c>
      <c r="H556" s="54">
        <f t="shared" si="25"/>
        <v>180.96</v>
      </c>
      <c r="I556" s="55">
        <v>0</v>
      </c>
      <c r="J556" s="78">
        <f t="shared" si="26"/>
        <v>180.96</v>
      </c>
      <c r="K556" s="57">
        <f t="shared" si="27"/>
        <v>168.96</v>
      </c>
    </row>
    <row r="557" spans="1:14" ht="15" x14ac:dyDescent="0.2">
      <c r="A557" s="50" t="s">
        <v>46</v>
      </c>
      <c r="B557" s="51" t="s">
        <v>326</v>
      </c>
      <c r="C557" s="60"/>
      <c r="D557" s="58" t="s">
        <v>468</v>
      </c>
      <c r="E557" s="53">
        <v>24</v>
      </c>
      <c r="F557" s="9">
        <v>7.04</v>
      </c>
      <c r="G557" s="10">
        <v>7.54</v>
      </c>
      <c r="H557" s="54">
        <f t="shared" si="25"/>
        <v>180.96</v>
      </c>
      <c r="I557" s="55">
        <v>0</v>
      </c>
      <c r="J557" s="78">
        <f t="shared" si="26"/>
        <v>180.96</v>
      </c>
      <c r="K557" s="57">
        <f t="shared" si="27"/>
        <v>168.96</v>
      </c>
    </row>
    <row r="558" spans="1:14" ht="15" x14ac:dyDescent="0.2">
      <c r="A558" s="50" t="s">
        <v>46</v>
      </c>
      <c r="B558" s="51" t="s">
        <v>331</v>
      </c>
      <c r="C558" s="60"/>
      <c r="D558" s="58" t="s">
        <v>473</v>
      </c>
      <c r="E558" s="53">
        <v>48</v>
      </c>
      <c r="F558" s="9">
        <v>8.7100000000000009</v>
      </c>
      <c r="G558" s="10">
        <v>9.3800000000000008</v>
      </c>
      <c r="H558" s="54">
        <f t="shared" si="25"/>
        <v>450.24</v>
      </c>
      <c r="I558" s="55">
        <v>0</v>
      </c>
      <c r="J558" s="78">
        <f t="shared" si="26"/>
        <v>450.24</v>
      </c>
      <c r="K558" s="57">
        <f t="shared" si="27"/>
        <v>418.08000000000004</v>
      </c>
    </row>
    <row r="559" spans="1:14" ht="15" x14ac:dyDescent="0.2">
      <c r="A559" s="50" t="s">
        <v>46</v>
      </c>
      <c r="B559" s="51" t="s">
        <v>332</v>
      </c>
      <c r="C559" s="60"/>
      <c r="D559" s="58" t="s">
        <v>474</v>
      </c>
      <c r="E559" s="53">
        <v>12</v>
      </c>
      <c r="F559" s="9">
        <v>14.58</v>
      </c>
      <c r="G559" s="10">
        <v>15.92</v>
      </c>
      <c r="H559" s="54">
        <f t="shared" si="25"/>
        <v>191.04</v>
      </c>
      <c r="I559" s="55">
        <v>0</v>
      </c>
      <c r="J559" s="78">
        <f t="shared" si="26"/>
        <v>191.04</v>
      </c>
      <c r="K559" s="57">
        <f t="shared" si="27"/>
        <v>174.96</v>
      </c>
      <c r="L559" s="2">
        <v>50151.46</v>
      </c>
      <c r="M559" s="2">
        <v>50894.75</v>
      </c>
      <c r="N559" s="22">
        <f>M559-L559</f>
        <v>743.29000000000087</v>
      </c>
    </row>
    <row r="560" spans="1:14" ht="15" x14ac:dyDescent="0.2">
      <c r="A560" s="50" t="s">
        <v>482</v>
      </c>
      <c r="B560" s="51" t="s">
        <v>329</v>
      </c>
      <c r="C560" s="60" t="s">
        <v>522</v>
      </c>
      <c r="D560" s="58" t="s">
        <v>471</v>
      </c>
      <c r="E560" s="53">
        <v>120</v>
      </c>
      <c r="F560" s="9">
        <v>21.33</v>
      </c>
      <c r="G560" s="10">
        <v>22.33</v>
      </c>
      <c r="H560" s="54">
        <f t="shared" si="25"/>
        <v>2679.6</v>
      </c>
      <c r="I560" s="55">
        <v>0</v>
      </c>
      <c r="J560" s="79">
        <f t="shared" si="26"/>
        <v>2679.6</v>
      </c>
      <c r="K560" s="57">
        <f t="shared" ref="K560:K637" si="28">E560*F560</f>
        <v>2559.6</v>
      </c>
    </row>
    <row r="561" spans="1:11" ht="15" x14ac:dyDescent="0.2">
      <c r="A561" s="50" t="s">
        <v>482</v>
      </c>
      <c r="B561" s="51" t="s">
        <v>325</v>
      </c>
      <c r="C561" s="60"/>
      <c r="D561" s="58" t="s">
        <v>467</v>
      </c>
      <c r="E561" s="53">
        <v>120</v>
      </c>
      <c r="F561" s="9">
        <v>21.33</v>
      </c>
      <c r="G561" s="10">
        <v>22.33</v>
      </c>
      <c r="H561" s="54">
        <f t="shared" si="25"/>
        <v>2679.6</v>
      </c>
      <c r="I561" s="55">
        <v>0</v>
      </c>
      <c r="J561" s="79">
        <f t="shared" si="26"/>
        <v>2679.6</v>
      </c>
      <c r="K561" s="57">
        <f t="shared" si="28"/>
        <v>2559.6</v>
      </c>
    </row>
    <row r="562" spans="1:11" ht="15" x14ac:dyDescent="0.2">
      <c r="A562" s="50" t="s">
        <v>482</v>
      </c>
      <c r="B562" s="51" t="s">
        <v>335</v>
      </c>
      <c r="C562" s="60"/>
      <c r="D562" s="58" t="s">
        <v>477</v>
      </c>
      <c r="E562" s="53">
        <v>240</v>
      </c>
      <c r="F562" s="9">
        <v>7.04</v>
      </c>
      <c r="G562" s="10">
        <v>7.54</v>
      </c>
      <c r="H562" s="54">
        <f t="shared" si="25"/>
        <v>1809.6</v>
      </c>
      <c r="I562" s="55">
        <v>0</v>
      </c>
      <c r="J562" s="79">
        <f t="shared" si="26"/>
        <v>1809.6</v>
      </c>
      <c r="K562" s="57">
        <f t="shared" ref="K562:K605" si="29">E562*F562</f>
        <v>1689.6</v>
      </c>
    </row>
    <row r="563" spans="1:11" ht="15" x14ac:dyDescent="0.2">
      <c r="A563" s="50" t="s">
        <v>482</v>
      </c>
      <c r="B563" s="51" t="s">
        <v>313</v>
      </c>
      <c r="C563" s="60"/>
      <c r="D563" s="58" t="s">
        <v>455</v>
      </c>
      <c r="E563" s="53">
        <v>120</v>
      </c>
      <c r="F563" s="9">
        <v>7.04</v>
      </c>
      <c r="G563" s="10">
        <v>7.54</v>
      </c>
      <c r="H563" s="54">
        <f t="shared" si="25"/>
        <v>904.8</v>
      </c>
      <c r="I563" s="55">
        <v>0</v>
      </c>
      <c r="J563" s="79">
        <f t="shared" si="26"/>
        <v>904.8</v>
      </c>
      <c r="K563" s="57">
        <f t="shared" si="29"/>
        <v>844.8</v>
      </c>
    </row>
    <row r="564" spans="1:11" ht="15" x14ac:dyDescent="0.2">
      <c r="A564" s="50" t="s">
        <v>482</v>
      </c>
      <c r="B564" s="51" t="s">
        <v>326</v>
      </c>
      <c r="C564" s="60"/>
      <c r="D564" s="58" t="s">
        <v>468</v>
      </c>
      <c r="E564" s="53">
        <v>120</v>
      </c>
      <c r="F564" s="9">
        <v>7.04</v>
      </c>
      <c r="G564" s="10">
        <v>7.54</v>
      </c>
      <c r="H564" s="54">
        <f t="shared" si="25"/>
        <v>904.8</v>
      </c>
      <c r="I564" s="55">
        <v>0</v>
      </c>
      <c r="J564" s="79">
        <f t="shared" si="26"/>
        <v>904.8</v>
      </c>
      <c r="K564" s="57">
        <f t="shared" si="29"/>
        <v>844.8</v>
      </c>
    </row>
    <row r="565" spans="1:11" ht="15" x14ac:dyDescent="0.2">
      <c r="A565" s="50" t="s">
        <v>482</v>
      </c>
      <c r="B565" s="51" t="s">
        <v>316</v>
      </c>
      <c r="C565" s="60"/>
      <c r="D565" s="58" t="s">
        <v>458</v>
      </c>
      <c r="E565" s="53">
        <v>120</v>
      </c>
      <c r="F565" s="9">
        <v>15.92</v>
      </c>
      <c r="G565" s="10">
        <v>16.329999999999998</v>
      </c>
      <c r="H565" s="54">
        <f t="shared" si="25"/>
        <v>1959.6</v>
      </c>
      <c r="I565" s="55">
        <v>0</v>
      </c>
      <c r="J565" s="79">
        <f t="shared" si="26"/>
        <v>1959.6</v>
      </c>
      <c r="K565" s="57">
        <f t="shared" si="29"/>
        <v>1910.4</v>
      </c>
    </row>
    <row r="566" spans="1:11" ht="15" x14ac:dyDescent="0.2">
      <c r="A566" s="50" t="s">
        <v>482</v>
      </c>
      <c r="B566" s="51" t="s">
        <v>322</v>
      </c>
      <c r="C566" s="60"/>
      <c r="D566" s="58" t="s">
        <v>464</v>
      </c>
      <c r="E566" s="53">
        <v>60</v>
      </c>
      <c r="F566" s="9">
        <v>15.92</v>
      </c>
      <c r="G566" s="10">
        <v>16.329999999999998</v>
      </c>
      <c r="H566" s="54">
        <f t="shared" si="25"/>
        <v>979.8</v>
      </c>
      <c r="I566" s="55">
        <v>0</v>
      </c>
      <c r="J566" s="79">
        <f t="shared" si="26"/>
        <v>979.8</v>
      </c>
      <c r="K566" s="57">
        <f t="shared" si="29"/>
        <v>955.2</v>
      </c>
    </row>
    <row r="567" spans="1:11" ht="15" x14ac:dyDescent="0.2">
      <c r="A567" s="50" t="s">
        <v>482</v>
      </c>
      <c r="B567" s="51" t="s">
        <v>323</v>
      </c>
      <c r="C567" s="60"/>
      <c r="D567" s="58" t="s">
        <v>465</v>
      </c>
      <c r="E567" s="53">
        <v>60</v>
      </c>
      <c r="F567" s="9">
        <v>15.92</v>
      </c>
      <c r="G567" s="10">
        <v>16.329999999999998</v>
      </c>
      <c r="H567" s="54">
        <f t="shared" si="25"/>
        <v>979.8</v>
      </c>
      <c r="I567" s="55">
        <v>0</v>
      </c>
      <c r="J567" s="79">
        <f t="shared" si="26"/>
        <v>979.8</v>
      </c>
      <c r="K567" s="57">
        <f t="shared" si="29"/>
        <v>955.2</v>
      </c>
    </row>
    <row r="568" spans="1:11" ht="15" x14ac:dyDescent="0.2">
      <c r="A568" s="50" t="s">
        <v>482</v>
      </c>
      <c r="B568" s="51" t="s">
        <v>319</v>
      </c>
      <c r="C568" s="60"/>
      <c r="D568" s="58" t="s">
        <v>461</v>
      </c>
      <c r="E568" s="53">
        <v>24</v>
      </c>
      <c r="F568" s="9">
        <v>11.58</v>
      </c>
      <c r="G568" s="10">
        <v>12</v>
      </c>
      <c r="H568" s="54">
        <f t="shared" si="25"/>
        <v>288</v>
      </c>
      <c r="I568" s="55">
        <v>0</v>
      </c>
      <c r="J568" s="79">
        <f t="shared" si="26"/>
        <v>288</v>
      </c>
      <c r="K568" s="57">
        <f t="shared" si="29"/>
        <v>277.92</v>
      </c>
    </row>
    <row r="569" spans="1:11" ht="15" x14ac:dyDescent="0.2">
      <c r="A569" s="50" t="s">
        <v>482</v>
      </c>
      <c r="B569" s="51" t="s">
        <v>320</v>
      </c>
      <c r="C569" s="60"/>
      <c r="D569" s="58" t="s">
        <v>462</v>
      </c>
      <c r="E569" s="53">
        <v>24</v>
      </c>
      <c r="F569" s="9">
        <v>11.58</v>
      </c>
      <c r="G569" s="10">
        <v>12</v>
      </c>
      <c r="H569" s="54">
        <f t="shared" si="25"/>
        <v>288</v>
      </c>
      <c r="I569" s="55">
        <v>0</v>
      </c>
      <c r="J569" s="79">
        <f t="shared" si="26"/>
        <v>288</v>
      </c>
      <c r="K569" s="57">
        <f t="shared" si="29"/>
        <v>277.92</v>
      </c>
    </row>
    <row r="570" spans="1:11" ht="15" x14ac:dyDescent="0.2">
      <c r="A570" s="50" t="s">
        <v>482</v>
      </c>
      <c r="B570" s="51" t="s">
        <v>336</v>
      </c>
      <c r="C570" s="60"/>
      <c r="D570" s="58" t="s">
        <v>478</v>
      </c>
      <c r="E570" s="53">
        <v>24</v>
      </c>
      <c r="F570" s="9">
        <v>11.58</v>
      </c>
      <c r="G570" s="10">
        <v>12</v>
      </c>
      <c r="H570" s="54">
        <f t="shared" si="25"/>
        <v>288</v>
      </c>
      <c r="I570" s="55">
        <v>0</v>
      </c>
      <c r="J570" s="79">
        <f t="shared" si="26"/>
        <v>288</v>
      </c>
      <c r="K570" s="57">
        <f t="shared" si="29"/>
        <v>277.92</v>
      </c>
    </row>
    <row r="571" spans="1:11" ht="15" x14ac:dyDescent="0.2">
      <c r="A571" s="50" t="s">
        <v>482</v>
      </c>
      <c r="B571" s="51" t="s">
        <v>317</v>
      </c>
      <c r="C571" s="60"/>
      <c r="D571" s="58" t="s">
        <v>459</v>
      </c>
      <c r="E571" s="53">
        <v>24</v>
      </c>
      <c r="F571" s="9">
        <v>59.17</v>
      </c>
      <c r="G571" s="10">
        <v>60</v>
      </c>
      <c r="H571" s="54">
        <f t="shared" si="25"/>
        <v>1440</v>
      </c>
      <c r="I571" s="55">
        <v>0</v>
      </c>
      <c r="J571" s="79">
        <f t="shared" si="26"/>
        <v>1440</v>
      </c>
      <c r="K571" s="57">
        <f t="shared" si="29"/>
        <v>1420.08</v>
      </c>
    </row>
    <row r="572" spans="1:11" ht="15" x14ac:dyDescent="0.2">
      <c r="A572" s="50" t="s">
        <v>482</v>
      </c>
      <c r="B572" s="51" t="s">
        <v>309</v>
      </c>
      <c r="C572" s="60" t="s">
        <v>523</v>
      </c>
      <c r="D572" s="58" t="s">
        <v>451</v>
      </c>
      <c r="E572" s="53">
        <v>24</v>
      </c>
      <c r="F572" s="9">
        <v>36</v>
      </c>
      <c r="G572" s="10">
        <v>37.33</v>
      </c>
      <c r="H572" s="54">
        <f t="shared" si="25"/>
        <v>895.92</v>
      </c>
      <c r="I572" s="55">
        <v>0</v>
      </c>
      <c r="J572" s="79">
        <f t="shared" si="26"/>
        <v>895.92</v>
      </c>
      <c r="K572" s="57">
        <f t="shared" si="29"/>
        <v>864</v>
      </c>
    </row>
    <row r="573" spans="1:11" ht="15" x14ac:dyDescent="0.2">
      <c r="A573" s="50" t="s">
        <v>482</v>
      </c>
      <c r="B573" s="51" t="s">
        <v>331</v>
      </c>
      <c r="C573" s="60" t="s">
        <v>524</v>
      </c>
      <c r="D573" s="58" t="s">
        <v>473</v>
      </c>
      <c r="E573" s="53">
        <v>72</v>
      </c>
      <c r="F573" s="9">
        <v>8.7100000000000009</v>
      </c>
      <c r="G573" s="10">
        <v>9.3800000000000008</v>
      </c>
      <c r="H573" s="54">
        <f t="shared" si="25"/>
        <v>675.36</v>
      </c>
      <c r="I573" s="55">
        <v>0</v>
      </c>
      <c r="J573" s="79">
        <f t="shared" si="26"/>
        <v>675.36</v>
      </c>
      <c r="K573" s="57">
        <f t="shared" si="29"/>
        <v>627.12000000000012</v>
      </c>
    </row>
    <row r="574" spans="1:11" ht="15" x14ac:dyDescent="0.2">
      <c r="A574" s="50" t="s">
        <v>482</v>
      </c>
      <c r="B574" s="51" t="s">
        <v>322</v>
      </c>
      <c r="C574" s="60"/>
      <c r="D574" s="58" t="s">
        <v>464</v>
      </c>
      <c r="E574" s="53">
        <v>60</v>
      </c>
      <c r="F574" s="9">
        <v>15.92</v>
      </c>
      <c r="G574" s="10">
        <v>16.329999999999998</v>
      </c>
      <c r="H574" s="54">
        <f t="shared" si="25"/>
        <v>979.8</v>
      </c>
      <c r="I574" s="55">
        <v>0</v>
      </c>
      <c r="J574" s="79">
        <f t="shared" si="26"/>
        <v>979.8</v>
      </c>
      <c r="K574" s="57">
        <f t="shared" si="29"/>
        <v>955.2</v>
      </c>
    </row>
    <row r="575" spans="1:11" ht="15" x14ac:dyDescent="0.2">
      <c r="A575" s="50" t="s">
        <v>482</v>
      </c>
      <c r="B575" s="51" t="s">
        <v>317</v>
      </c>
      <c r="C575" s="60"/>
      <c r="D575" s="58" t="s">
        <v>459</v>
      </c>
      <c r="E575" s="53">
        <v>12</v>
      </c>
      <c r="F575" s="9">
        <v>59.17</v>
      </c>
      <c r="G575" s="10">
        <v>60</v>
      </c>
      <c r="H575" s="54">
        <f t="shared" si="25"/>
        <v>720</v>
      </c>
      <c r="I575" s="55">
        <v>0</v>
      </c>
      <c r="J575" s="79">
        <f t="shared" si="26"/>
        <v>720</v>
      </c>
      <c r="K575" s="57">
        <f t="shared" si="29"/>
        <v>710.04</v>
      </c>
    </row>
    <row r="576" spans="1:11" ht="15" x14ac:dyDescent="0.2">
      <c r="A576" s="50" t="s">
        <v>482</v>
      </c>
      <c r="B576" s="51" t="s">
        <v>325</v>
      </c>
      <c r="C576" s="60"/>
      <c r="D576" s="58" t="s">
        <v>467</v>
      </c>
      <c r="E576" s="53">
        <v>12</v>
      </c>
      <c r="F576" s="9">
        <v>21.33</v>
      </c>
      <c r="G576" s="10">
        <v>22.33</v>
      </c>
      <c r="H576" s="54">
        <f t="shared" si="25"/>
        <v>267.95999999999998</v>
      </c>
      <c r="I576" s="55">
        <v>0</v>
      </c>
      <c r="J576" s="79">
        <f t="shared" si="26"/>
        <v>267.95999999999998</v>
      </c>
      <c r="K576" s="57">
        <f t="shared" si="29"/>
        <v>255.95999999999998</v>
      </c>
    </row>
    <row r="577" spans="1:11" ht="15" x14ac:dyDescent="0.2">
      <c r="A577" s="50" t="s">
        <v>482</v>
      </c>
      <c r="B577" s="51" t="s">
        <v>335</v>
      </c>
      <c r="C577" s="60"/>
      <c r="D577" s="58" t="s">
        <v>477</v>
      </c>
      <c r="E577" s="53">
        <v>144</v>
      </c>
      <c r="F577" s="9">
        <v>7.04</v>
      </c>
      <c r="G577" s="10">
        <v>7.54</v>
      </c>
      <c r="H577" s="54">
        <f t="shared" si="25"/>
        <v>1085.76</v>
      </c>
      <c r="I577" s="55">
        <v>0</v>
      </c>
      <c r="J577" s="79">
        <f t="shared" si="26"/>
        <v>1085.76</v>
      </c>
      <c r="K577" s="57">
        <f t="shared" si="29"/>
        <v>1013.76</v>
      </c>
    </row>
    <row r="578" spans="1:11" ht="15" x14ac:dyDescent="0.2">
      <c r="A578" s="50" t="s">
        <v>482</v>
      </c>
      <c r="B578" s="51" t="s">
        <v>313</v>
      </c>
      <c r="C578" s="60"/>
      <c r="D578" s="58" t="s">
        <v>455</v>
      </c>
      <c r="E578" s="53">
        <v>24</v>
      </c>
      <c r="F578" s="9">
        <v>7.04</v>
      </c>
      <c r="G578" s="10">
        <v>7.54</v>
      </c>
      <c r="H578" s="54">
        <f t="shared" si="25"/>
        <v>180.96</v>
      </c>
      <c r="I578" s="55">
        <v>0</v>
      </c>
      <c r="J578" s="79">
        <f t="shared" si="26"/>
        <v>180.96</v>
      </c>
      <c r="K578" s="57">
        <f t="shared" si="29"/>
        <v>168.96</v>
      </c>
    </row>
    <row r="579" spans="1:11" ht="15" x14ac:dyDescent="0.2">
      <c r="A579" s="50" t="s">
        <v>482</v>
      </c>
      <c r="B579" s="51" t="s">
        <v>326</v>
      </c>
      <c r="C579" s="60"/>
      <c r="D579" s="58" t="s">
        <v>468</v>
      </c>
      <c r="E579" s="53">
        <v>24</v>
      </c>
      <c r="F579" s="9">
        <v>7.04</v>
      </c>
      <c r="G579" s="10">
        <v>7.54</v>
      </c>
      <c r="H579" s="54">
        <f t="shared" si="25"/>
        <v>180.96</v>
      </c>
      <c r="I579" s="55">
        <v>0</v>
      </c>
      <c r="J579" s="79">
        <f t="shared" si="26"/>
        <v>180.96</v>
      </c>
      <c r="K579" s="57">
        <f t="shared" si="29"/>
        <v>168.96</v>
      </c>
    </row>
    <row r="580" spans="1:11" ht="15" x14ac:dyDescent="0.2">
      <c r="A580" s="50" t="s">
        <v>482</v>
      </c>
      <c r="B580" s="51" t="s">
        <v>335</v>
      </c>
      <c r="C580" s="60" t="s">
        <v>525</v>
      </c>
      <c r="D580" s="58" t="s">
        <v>477</v>
      </c>
      <c r="E580" s="53">
        <v>72</v>
      </c>
      <c r="F580" s="9">
        <v>7.04</v>
      </c>
      <c r="G580" s="10">
        <v>7.54</v>
      </c>
      <c r="H580" s="54">
        <f t="shared" si="25"/>
        <v>542.88</v>
      </c>
      <c r="I580" s="55">
        <v>0</v>
      </c>
      <c r="J580" s="79">
        <f t="shared" si="26"/>
        <v>542.88</v>
      </c>
      <c r="K580" s="57">
        <f t="shared" si="29"/>
        <v>506.88</v>
      </c>
    </row>
    <row r="581" spans="1:11" ht="15" x14ac:dyDescent="0.2">
      <c r="A581" s="50" t="s">
        <v>482</v>
      </c>
      <c r="B581" s="51" t="s">
        <v>317</v>
      </c>
      <c r="C581" s="60" t="s">
        <v>526</v>
      </c>
      <c r="D581" s="58" t="s">
        <v>459</v>
      </c>
      <c r="E581" s="53">
        <v>12</v>
      </c>
      <c r="F581" s="9">
        <v>59.17</v>
      </c>
      <c r="G581" s="10">
        <v>60</v>
      </c>
      <c r="H581" s="54">
        <f t="shared" si="25"/>
        <v>720</v>
      </c>
      <c r="I581" s="55">
        <v>0</v>
      </c>
      <c r="J581" s="79">
        <f t="shared" si="26"/>
        <v>720</v>
      </c>
      <c r="K581" s="57">
        <f t="shared" si="29"/>
        <v>710.04</v>
      </c>
    </row>
    <row r="582" spans="1:11" ht="15" x14ac:dyDescent="0.2">
      <c r="A582" s="50" t="s">
        <v>482</v>
      </c>
      <c r="B582" s="51" t="s">
        <v>328</v>
      </c>
      <c r="C582" s="60"/>
      <c r="D582" s="58" t="s">
        <v>470</v>
      </c>
      <c r="E582" s="53">
        <v>6</v>
      </c>
      <c r="F582" s="9">
        <v>59.17</v>
      </c>
      <c r="G582" s="10">
        <v>60</v>
      </c>
      <c r="H582" s="54">
        <f t="shared" ref="H582:H637" si="30">E582*G582</f>
        <v>360</v>
      </c>
      <c r="I582" s="55">
        <v>0</v>
      </c>
      <c r="J582" s="79">
        <f t="shared" ref="J582:J637" si="31">(G582*E582)-I582</f>
        <v>360</v>
      </c>
      <c r="K582" s="57">
        <f t="shared" si="29"/>
        <v>355.02</v>
      </c>
    </row>
    <row r="583" spans="1:11" ht="15" x14ac:dyDescent="0.2">
      <c r="A583" s="50" t="s">
        <v>482</v>
      </c>
      <c r="B583" s="51" t="s">
        <v>318</v>
      </c>
      <c r="C583" s="60"/>
      <c r="D583" s="58" t="s">
        <v>460</v>
      </c>
      <c r="E583" s="53">
        <v>6</v>
      </c>
      <c r="F583" s="9">
        <v>59.17</v>
      </c>
      <c r="G583" s="10">
        <v>60</v>
      </c>
      <c r="H583" s="54">
        <f t="shared" si="30"/>
        <v>360</v>
      </c>
      <c r="I583" s="55">
        <v>0</v>
      </c>
      <c r="J583" s="79">
        <f t="shared" si="31"/>
        <v>360</v>
      </c>
      <c r="K583" s="57">
        <f t="shared" si="29"/>
        <v>355.02</v>
      </c>
    </row>
    <row r="584" spans="1:11" ht="15" x14ac:dyDescent="0.2">
      <c r="A584" s="50" t="s">
        <v>482</v>
      </c>
      <c r="B584" s="51" t="s">
        <v>335</v>
      </c>
      <c r="C584" s="60"/>
      <c r="D584" s="58" t="s">
        <v>477</v>
      </c>
      <c r="E584" s="53">
        <v>48</v>
      </c>
      <c r="F584" s="9">
        <v>7.04</v>
      </c>
      <c r="G584" s="10">
        <v>7.54</v>
      </c>
      <c r="H584" s="54">
        <f t="shared" si="30"/>
        <v>361.92</v>
      </c>
      <c r="I584" s="55">
        <v>0</v>
      </c>
      <c r="J584" s="79">
        <f t="shared" si="31"/>
        <v>361.92</v>
      </c>
      <c r="K584" s="57">
        <f t="shared" si="29"/>
        <v>337.92</v>
      </c>
    </row>
    <row r="585" spans="1:11" ht="15" x14ac:dyDescent="0.2">
      <c r="A585" s="50" t="s">
        <v>482</v>
      </c>
      <c r="B585" s="51" t="s">
        <v>313</v>
      </c>
      <c r="C585" s="60"/>
      <c r="D585" s="58" t="s">
        <v>455</v>
      </c>
      <c r="E585" s="53">
        <v>24</v>
      </c>
      <c r="F585" s="9">
        <v>7.04</v>
      </c>
      <c r="G585" s="10">
        <v>7.54</v>
      </c>
      <c r="H585" s="54">
        <f t="shared" si="30"/>
        <v>180.96</v>
      </c>
      <c r="I585" s="55">
        <v>0</v>
      </c>
      <c r="J585" s="79">
        <f t="shared" si="31"/>
        <v>180.96</v>
      </c>
      <c r="K585" s="57">
        <f t="shared" si="29"/>
        <v>168.96</v>
      </c>
    </row>
    <row r="586" spans="1:11" ht="15" x14ac:dyDescent="0.2">
      <c r="A586" s="50" t="s">
        <v>482</v>
      </c>
      <c r="B586" s="51" t="s">
        <v>335</v>
      </c>
      <c r="C586" s="60" t="s">
        <v>527</v>
      </c>
      <c r="D586" s="58" t="s">
        <v>477</v>
      </c>
      <c r="E586" s="53">
        <v>48</v>
      </c>
      <c r="F586" s="9">
        <v>7.04</v>
      </c>
      <c r="G586" s="10">
        <v>7.54</v>
      </c>
      <c r="H586" s="54">
        <f t="shared" si="30"/>
        <v>361.92</v>
      </c>
      <c r="I586" s="55">
        <v>0</v>
      </c>
      <c r="J586" s="79">
        <f t="shared" si="31"/>
        <v>361.92</v>
      </c>
      <c r="K586" s="57">
        <f t="shared" si="29"/>
        <v>337.92</v>
      </c>
    </row>
    <row r="587" spans="1:11" ht="15" x14ac:dyDescent="0.2">
      <c r="A587" s="50" t="s">
        <v>482</v>
      </c>
      <c r="B587" s="51" t="s">
        <v>317</v>
      </c>
      <c r="C587" s="60"/>
      <c r="D587" s="58" t="s">
        <v>459</v>
      </c>
      <c r="E587" s="53">
        <v>4</v>
      </c>
      <c r="F587" s="9">
        <v>59.17</v>
      </c>
      <c r="G587" s="10">
        <v>60</v>
      </c>
      <c r="H587" s="54">
        <f t="shared" si="30"/>
        <v>240</v>
      </c>
      <c r="I587" s="55">
        <v>0</v>
      </c>
      <c r="J587" s="79">
        <f t="shared" si="31"/>
        <v>240</v>
      </c>
      <c r="K587" s="57">
        <f t="shared" si="29"/>
        <v>236.68</v>
      </c>
    </row>
    <row r="588" spans="1:11" ht="15" x14ac:dyDescent="0.2">
      <c r="A588" s="50" t="s">
        <v>482</v>
      </c>
      <c r="B588" s="51" t="s">
        <v>316</v>
      </c>
      <c r="C588" s="60"/>
      <c r="D588" s="58" t="s">
        <v>458</v>
      </c>
      <c r="E588" s="53">
        <v>24</v>
      </c>
      <c r="F588" s="9">
        <v>15.92</v>
      </c>
      <c r="G588" s="10">
        <v>16.329999999999998</v>
      </c>
      <c r="H588" s="54">
        <f t="shared" si="30"/>
        <v>391.91999999999996</v>
      </c>
      <c r="I588" s="55">
        <v>0</v>
      </c>
      <c r="J588" s="79">
        <f t="shared" si="31"/>
        <v>391.91999999999996</v>
      </c>
      <c r="K588" s="57">
        <f t="shared" si="29"/>
        <v>382.08</v>
      </c>
    </row>
    <row r="589" spans="1:11" ht="15" x14ac:dyDescent="0.2">
      <c r="A589" s="50" t="s">
        <v>482</v>
      </c>
      <c r="B589" s="51" t="s">
        <v>335</v>
      </c>
      <c r="C589" s="60" t="s">
        <v>528</v>
      </c>
      <c r="D589" s="58" t="s">
        <v>477</v>
      </c>
      <c r="E589" s="53">
        <v>48</v>
      </c>
      <c r="F589" s="9">
        <v>7.04</v>
      </c>
      <c r="G589" s="10">
        <v>7.54</v>
      </c>
      <c r="H589" s="54">
        <f t="shared" si="30"/>
        <v>361.92</v>
      </c>
      <c r="I589" s="55">
        <v>0</v>
      </c>
      <c r="J589" s="79">
        <f t="shared" si="31"/>
        <v>361.92</v>
      </c>
      <c r="K589" s="57">
        <f t="shared" si="29"/>
        <v>337.92</v>
      </c>
    </row>
    <row r="590" spans="1:11" ht="15" x14ac:dyDescent="0.2">
      <c r="A590" s="50" t="s">
        <v>482</v>
      </c>
      <c r="B590" s="51" t="s">
        <v>317</v>
      </c>
      <c r="C590" s="60"/>
      <c r="D590" s="58" t="s">
        <v>459</v>
      </c>
      <c r="E590" s="53">
        <v>6</v>
      </c>
      <c r="F590" s="9">
        <v>59.17</v>
      </c>
      <c r="G590" s="10">
        <v>60</v>
      </c>
      <c r="H590" s="54">
        <f t="shared" si="30"/>
        <v>360</v>
      </c>
      <c r="I590" s="55">
        <v>0</v>
      </c>
      <c r="J590" s="79">
        <f t="shared" si="31"/>
        <v>360</v>
      </c>
      <c r="K590" s="57">
        <f t="shared" si="29"/>
        <v>355.02</v>
      </c>
    </row>
    <row r="591" spans="1:11" ht="15" x14ac:dyDescent="0.2">
      <c r="A591" s="50" t="s">
        <v>482</v>
      </c>
      <c r="B591" s="51" t="s">
        <v>318</v>
      </c>
      <c r="C591" s="60"/>
      <c r="D591" s="58" t="s">
        <v>460</v>
      </c>
      <c r="E591" s="53">
        <v>6</v>
      </c>
      <c r="F591" s="9">
        <v>59.17</v>
      </c>
      <c r="G591" s="10">
        <v>60</v>
      </c>
      <c r="H591" s="54">
        <f t="shared" si="30"/>
        <v>360</v>
      </c>
      <c r="I591" s="55">
        <v>0</v>
      </c>
      <c r="J591" s="79">
        <f t="shared" si="31"/>
        <v>360</v>
      </c>
      <c r="K591" s="57">
        <f t="shared" si="29"/>
        <v>355.02</v>
      </c>
    </row>
    <row r="592" spans="1:11" ht="15" x14ac:dyDescent="0.2">
      <c r="A592" s="50" t="s">
        <v>482</v>
      </c>
      <c r="B592" s="51" t="s">
        <v>316</v>
      </c>
      <c r="C592" s="60"/>
      <c r="D592" s="58" t="s">
        <v>458</v>
      </c>
      <c r="E592" s="53">
        <v>48</v>
      </c>
      <c r="F592" s="9">
        <v>15.92</v>
      </c>
      <c r="G592" s="10">
        <v>16.329999999999998</v>
      </c>
      <c r="H592" s="54">
        <f t="shared" si="30"/>
        <v>783.83999999999992</v>
      </c>
      <c r="I592" s="55">
        <v>0</v>
      </c>
      <c r="J592" s="79">
        <f t="shared" si="31"/>
        <v>783.83999999999992</v>
      </c>
      <c r="K592" s="57">
        <f t="shared" si="29"/>
        <v>764.16</v>
      </c>
    </row>
    <row r="593" spans="1:11" ht="15" x14ac:dyDescent="0.2">
      <c r="A593" s="50" t="s">
        <v>482</v>
      </c>
      <c r="B593" s="51" t="s">
        <v>322</v>
      </c>
      <c r="C593" s="60"/>
      <c r="D593" s="58" t="s">
        <v>464</v>
      </c>
      <c r="E593" s="53">
        <v>12</v>
      </c>
      <c r="F593" s="9">
        <v>15.92</v>
      </c>
      <c r="G593" s="10">
        <v>16.329999999999998</v>
      </c>
      <c r="H593" s="54">
        <f t="shared" si="30"/>
        <v>195.95999999999998</v>
      </c>
      <c r="I593" s="55">
        <v>0</v>
      </c>
      <c r="J593" s="79">
        <f t="shared" si="31"/>
        <v>195.95999999999998</v>
      </c>
      <c r="K593" s="57">
        <f t="shared" si="29"/>
        <v>191.04</v>
      </c>
    </row>
    <row r="594" spans="1:11" ht="15" x14ac:dyDescent="0.2">
      <c r="A594" s="50" t="s">
        <v>482</v>
      </c>
      <c r="B594" s="51" t="s">
        <v>317</v>
      </c>
      <c r="C594" s="60" t="s">
        <v>529</v>
      </c>
      <c r="D594" s="58" t="s">
        <v>459</v>
      </c>
      <c r="E594" s="53">
        <v>2</v>
      </c>
      <c r="F594" s="9">
        <v>59.17</v>
      </c>
      <c r="G594" s="10">
        <v>60</v>
      </c>
      <c r="H594" s="54">
        <f t="shared" si="30"/>
        <v>120</v>
      </c>
      <c r="I594" s="55">
        <v>0</v>
      </c>
      <c r="J594" s="79">
        <f t="shared" si="31"/>
        <v>120</v>
      </c>
      <c r="K594" s="57">
        <f t="shared" si="29"/>
        <v>118.34</v>
      </c>
    </row>
    <row r="595" spans="1:11" ht="15" x14ac:dyDescent="0.2">
      <c r="A595" s="50" t="s">
        <v>482</v>
      </c>
      <c r="B595" s="51" t="s">
        <v>317</v>
      </c>
      <c r="C595" s="60" t="s">
        <v>530</v>
      </c>
      <c r="D595" s="58" t="s">
        <v>459</v>
      </c>
      <c r="E595" s="53">
        <v>48</v>
      </c>
      <c r="F595" s="9">
        <v>59.17</v>
      </c>
      <c r="G595" s="10">
        <v>60</v>
      </c>
      <c r="H595" s="54">
        <f t="shared" si="30"/>
        <v>2880</v>
      </c>
      <c r="I595" s="55">
        <v>0</v>
      </c>
      <c r="J595" s="79">
        <f t="shared" si="31"/>
        <v>2880</v>
      </c>
      <c r="K595" s="57">
        <f t="shared" si="29"/>
        <v>2840.16</v>
      </c>
    </row>
    <row r="596" spans="1:11" ht="15" x14ac:dyDescent="0.2">
      <c r="A596" s="50" t="s">
        <v>482</v>
      </c>
      <c r="B596" s="51" t="s">
        <v>328</v>
      </c>
      <c r="C596" s="60"/>
      <c r="D596" s="58" t="s">
        <v>470</v>
      </c>
      <c r="E596" s="53">
        <v>12</v>
      </c>
      <c r="F596" s="9">
        <v>59.17</v>
      </c>
      <c r="G596" s="10">
        <v>60</v>
      </c>
      <c r="H596" s="54">
        <f t="shared" si="30"/>
        <v>720</v>
      </c>
      <c r="I596" s="55">
        <v>0</v>
      </c>
      <c r="J596" s="79">
        <f t="shared" si="31"/>
        <v>720</v>
      </c>
      <c r="K596" s="57">
        <f t="shared" si="29"/>
        <v>710.04</v>
      </c>
    </row>
    <row r="597" spans="1:11" ht="15" x14ac:dyDescent="0.2">
      <c r="A597" s="50" t="s">
        <v>482</v>
      </c>
      <c r="B597" s="51" t="s">
        <v>318</v>
      </c>
      <c r="C597" s="60"/>
      <c r="D597" s="58" t="s">
        <v>460</v>
      </c>
      <c r="E597" s="53">
        <v>12</v>
      </c>
      <c r="F597" s="9">
        <v>59.17</v>
      </c>
      <c r="G597" s="10">
        <v>60</v>
      </c>
      <c r="H597" s="54">
        <f t="shared" si="30"/>
        <v>720</v>
      </c>
      <c r="I597" s="55">
        <v>0</v>
      </c>
      <c r="J597" s="79">
        <f t="shared" si="31"/>
        <v>720</v>
      </c>
      <c r="K597" s="57">
        <f t="shared" si="29"/>
        <v>710.04</v>
      </c>
    </row>
    <row r="598" spans="1:11" ht="15" x14ac:dyDescent="0.2">
      <c r="A598" s="50" t="s">
        <v>482</v>
      </c>
      <c r="B598" s="51" t="s">
        <v>322</v>
      </c>
      <c r="C598" s="60"/>
      <c r="D598" s="58" t="s">
        <v>464</v>
      </c>
      <c r="E598" s="53">
        <v>24</v>
      </c>
      <c r="F598" s="9">
        <v>15.92</v>
      </c>
      <c r="G598" s="10">
        <v>16.329999999999998</v>
      </c>
      <c r="H598" s="54">
        <f t="shared" si="30"/>
        <v>391.91999999999996</v>
      </c>
      <c r="I598" s="55">
        <v>0</v>
      </c>
      <c r="J598" s="79">
        <f t="shared" si="31"/>
        <v>391.91999999999996</v>
      </c>
      <c r="K598" s="57">
        <f t="shared" si="29"/>
        <v>382.08</v>
      </c>
    </row>
    <row r="599" spans="1:11" ht="15" x14ac:dyDescent="0.2">
      <c r="A599" s="50" t="s">
        <v>482</v>
      </c>
      <c r="B599" s="51" t="s">
        <v>323</v>
      </c>
      <c r="C599" s="60"/>
      <c r="D599" s="58" t="s">
        <v>465</v>
      </c>
      <c r="E599" s="53">
        <v>24</v>
      </c>
      <c r="F599" s="9">
        <v>15.92</v>
      </c>
      <c r="G599" s="10">
        <v>16.329999999999998</v>
      </c>
      <c r="H599" s="54">
        <f t="shared" si="30"/>
        <v>391.91999999999996</v>
      </c>
      <c r="I599" s="55">
        <v>0</v>
      </c>
      <c r="J599" s="79">
        <f t="shared" si="31"/>
        <v>391.91999999999996</v>
      </c>
      <c r="K599" s="57">
        <f t="shared" si="29"/>
        <v>382.08</v>
      </c>
    </row>
    <row r="600" spans="1:11" ht="15" x14ac:dyDescent="0.2">
      <c r="A600" s="50" t="s">
        <v>482</v>
      </c>
      <c r="B600" s="51" t="s">
        <v>316</v>
      </c>
      <c r="C600" s="60"/>
      <c r="D600" s="58" t="s">
        <v>458</v>
      </c>
      <c r="E600" s="53">
        <v>96</v>
      </c>
      <c r="F600" s="9">
        <v>15.92</v>
      </c>
      <c r="G600" s="10">
        <v>16.329999999999998</v>
      </c>
      <c r="H600" s="54">
        <f t="shared" si="30"/>
        <v>1567.6799999999998</v>
      </c>
      <c r="I600" s="55">
        <v>0</v>
      </c>
      <c r="J600" s="79">
        <f t="shared" si="31"/>
        <v>1567.6799999999998</v>
      </c>
      <c r="K600" s="57">
        <f t="shared" si="29"/>
        <v>1528.32</v>
      </c>
    </row>
    <row r="601" spans="1:11" ht="15" x14ac:dyDescent="0.2">
      <c r="A601" s="50" t="s">
        <v>482</v>
      </c>
      <c r="B601" s="51" t="s">
        <v>331</v>
      </c>
      <c r="C601" s="60"/>
      <c r="D601" s="58" t="s">
        <v>473</v>
      </c>
      <c r="E601" s="53">
        <v>24</v>
      </c>
      <c r="F601" s="9">
        <v>8.7100000000000009</v>
      </c>
      <c r="G601" s="10">
        <v>9.3800000000000008</v>
      </c>
      <c r="H601" s="54">
        <f t="shared" si="30"/>
        <v>225.12</v>
      </c>
      <c r="I601" s="55">
        <v>0</v>
      </c>
      <c r="J601" s="79">
        <f t="shared" si="31"/>
        <v>225.12</v>
      </c>
      <c r="K601" s="57">
        <f t="shared" si="29"/>
        <v>209.04000000000002</v>
      </c>
    </row>
    <row r="602" spans="1:11" ht="15" x14ac:dyDescent="0.2">
      <c r="A602" s="50" t="s">
        <v>482</v>
      </c>
      <c r="B602" s="51" t="s">
        <v>324</v>
      </c>
      <c r="C602" s="60"/>
      <c r="D602" s="58" t="s">
        <v>466</v>
      </c>
      <c r="E602" s="53">
        <v>30</v>
      </c>
      <c r="F602" s="9">
        <v>6.67</v>
      </c>
      <c r="G602" s="10">
        <v>7.25</v>
      </c>
      <c r="H602" s="54">
        <f t="shared" si="30"/>
        <v>217.5</v>
      </c>
      <c r="I602" s="55">
        <v>0</v>
      </c>
      <c r="J602" s="79">
        <f t="shared" si="31"/>
        <v>217.5</v>
      </c>
      <c r="K602" s="57">
        <f t="shared" si="29"/>
        <v>200.1</v>
      </c>
    </row>
    <row r="603" spans="1:11" ht="15" x14ac:dyDescent="0.2">
      <c r="A603" s="50" t="s">
        <v>482</v>
      </c>
      <c r="B603" s="51" t="s">
        <v>332</v>
      </c>
      <c r="C603" s="60"/>
      <c r="D603" s="58" t="s">
        <v>474</v>
      </c>
      <c r="E603" s="53">
        <v>12</v>
      </c>
      <c r="F603" s="9">
        <v>14.58</v>
      </c>
      <c r="G603" s="10">
        <v>15.92</v>
      </c>
      <c r="H603" s="54">
        <f t="shared" si="30"/>
        <v>191.04</v>
      </c>
      <c r="I603" s="55">
        <v>0</v>
      </c>
      <c r="J603" s="79">
        <f t="shared" si="31"/>
        <v>191.04</v>
      </c>
      <c r="K603" s="57">
        <f t="shared" si="29"/>
        <v>174.96</v>
      </c>
    </row>
    <row r="604" spans="1:11" ht="15" x14ac:dyDescent="0.2">
      <c r="A604" s="50" t="s">
        <v>482</v>
      </c>
      <c r="B604" s="51" t="s">
        <v>335</v>
      </c>
      <c r="C604" s="60"/>
      <c r="D604" s="58" t="s">
        <v>477</v>
      </c>
      <c r="E604" s="53">
        <v>360</v>
      </c>
      <c r="F604" s="9">
        <v>7.04</v>
      </c>
      <c r="G604" s="10">
        <v>7.54</v>
      </c>
      <c r="H604" s="54">
        <f t="shared" si="30"/>
        <v>2714.4</v>
      </c>
      <c r="I604" s="55">
        <v>0</v>
      </c>
      <c r="J604" s="79">
        <f t="shared" si="31"/>
        <v>2714.4</v>
      </c>
      <c r="K604" s="57">
        <f t="shared" si="29"/>
        <v>2534.4</v>
      </c>
    </row>
    <row r="605" spans="1:11" ht="15" x14ac:dyDescent="0.2">
      <c r="A605" s="50" t="s">
        <v>482</v>
      </c>
      <c r="B605" s="51" t="s">
        <v>313</v>
      </c>
      <c r="C605" s="60"/>
      <c r="D605" s="58" t="s">
        <v>455</v>
      </c>
      <c r="E605" s="53">
        <v>72</v>
      </c>
      <c r="F605" s="9">
        <v>7.04</v>
      </c>
      <c r="G605" s="10">
        <v>7.54</v>
      </c>
      <c r="H605" s="54">
        <f t="shared" si="30"/>
        <v>542.88</v>
      </c>
      <c r="I605" s="55">
        <v>0</v>
      </c>
      <c r="J605" s="79">
        <f t="shared" si="31"/>
        <v>542.88</v>
      </c>
      <c r="K605" s="57">
        <f t="shared" si="29"/>
        <v>506.88</v>
      </c>
    </row>
    <row r="606" spans="1:11" ht="15" x14ac:dyDescent="0.2">
      <c r="A606" s="50" t="s">
        <v>482</v>
      </c>
      <c r="B606" s="51" t="s">
        <v>326</v>
      </c>
      <c r="C606" s="60"/>
      <c r="D606" s="58" t="s">
        <v>468</v>
      </c>
      <c r="E606" s="53">
        <v>96</v>
      </c>
      <c r="F606" s="9">
        <v>7.04</v>
      </c>
      <c r="G606" s="10">
        <v>7.54</v>
      </c>
      <c r="H606" s="54">
        <f t="shared" si="30"/>
        <v>723.84</v>
      </c>
      <c r="I606" s="55">
        <v>0</v>
      </c>
      <c r="J606" s="79">
        <f t="shared" si="31"/>
        <v>723.84</v>
      </c>
      <c r="K606" s="57">
        <f t="shared" si="28"/>
        <v>675.84</v>
      </c>
    </row>
    <row r="607" spans="1:11" ht="15" x14ac:dyDescent="0.2">
      <c r="A607" s="50" t="s">
        <v>482</v>
      </c>
      <c r="B607" s="51" t="s">
        <v>325</v>
      </c>
      <c r="C607" s="60"/>
      <c r="D607" s="58" t="s">
        <v>467</v>
      </c>
      <c r="E607" s="53">
        <v>6</v>
      </c>
      <c r="F607" s="9">
        <v>21.33</v>
      </c>
      <c r="G607" s="10">
        <v>22.33</v>
      </c>
      <c r="H607" s="54">
        <f t="shared" si="30"/>
        <v>133.97999999999999</v>
      </c>
      <c r="I607" s="55">
        <v>0</v>
      </c>
      <c r="J607" s="79">
        <f t="shared" si="31"/>
        <v>133.97999999999999</v>
      </c>
      <c r="K607" s="57">
        <f t="shared" si="28"/>
        <v>127.97999999999999</v>
      </c>
    </row>
    <row r="608" spans="1:11" ht="15" x14ac:dyDescent="0.2">
      <c r="A608" s="50" t="s">
        <v>482</v>
      </c>
      <c r="B608" s="51" t="s">
        <v>316</v>
      </c>
      <c r="C608" s="60" t="s">
        <v>531</v>
      </c>
      <c r="D608" s="58" t="s">
        <v>458</v>
      </c>
      <c r="E608" s="53">
        <v>12</v>
      </c>
      <c r="F608" s="9">
        <v>15.92</v>
      </c>
      <c r="G608" s="10">
        <v>16.329999999999998</v>
      </c>
      <c r="H608" s="54">
        <f t="shared" si="30"/>
        <v>195.95999999999998</v>
      </c>
      <c r="I608" s="55">
        <v>0</v>
      </c>
      <c r="J608" s="79">
        <f t="shared" si="31"/>
        <v>195.95999999999998</v>
      </c>
      <c r="K608" s="57">
        <f t="shared" si="28"/>
        <v>191.04</v>
      </c>
    </row>
    <row r="609" spans="1:11" ht="15" x14ac:dyDescent="0.2">
      <c r="A609" s="50" t="s">
        <v>482</v>
      </c>
      <c r="B609" s="51" t="s">
        <v>323</v>
      </c>
      <c r="C609" s="60"/>
      <c r="D609" s="58" t="s">
        <v>465</v>
      </c>
      <c r="E609" s="53">
        <v>12</v>
      </c>
      <c r="F609" s="9">
        <v>15.92</v>
      </c>
      <c r="G609" s="10">
        <v>16.329999999999998</v>
      </c>
      <c r="H609" s="54">
        <f t="shared" si="30"/>
        <v>195.95999999999998</v>
      </c>
      <c r="I609" s="55">
        <v>0</v>
      </c>
      <c r="J609" s="79">
        <f t="shared" si="31"/>
        <v>195.95999999999998</v>
      </c>
      <c r="K609" s="57">
        <f t="shared" si="28"/>
        <v>191.04</v>
      </c>
    </row>
    <row r="610" spans="1:11" ht="15" x14ac:dyDescent="0.2">
      <c r="A610" s="50" t="s">
        <v>482</v>
      </c>
      <c r="B610" s="51" t="s">
        <v>319</v>
      </c>
      <c r="C610" s="60"/>
      <c r="D610" s="58" t="s">
        <v>461</v>
      </c>
      <c r="E610" s="53">
        <v>12</v>
      </c>
      <c r="F610" s="9">
        <v>11.58</v>
      </c>
      <c r="G610" s="10">
        <v>12</v>
      </c>
      <c r="H610" s="54">
        <f t="shared" si="30"/>
        <v>144</v>
      </c>
      <c r="I610" s="55">
        <v>0</v>
      </c>
      <c r="J610" s="79">
        <f t="shared" si="31"/>
        <v>144</v>
      </c>
      <c r="K610" s="57">
        <f t="shared" si="28"/>
        <v>138.96</v>
      </c>
    </row>
    <row r="611" spans="1:11" ht="15" x14ac:dyDescent="0.2">
      <c r="A611" s="50" t="s">
        <v>482</v>
      </c>
      <c r="B611" s="51" t="s">
        <v>320</v>
      </c>
      <c r="C611" s="60"/>
      <c r="D611" s="58" t="s">
        <v>462</v>
      </c>
      <c r="E611" s="53">
        <v>12</v>
      </c>
      <c r="F611" s="9">
        <v>11.58</v>
      </c>
      <c r="G611" s="10">
        <v>12</v>
      </c>
      <c r="H611" s="54">
        <f t="shared" si="30"/>
        <v>144</v>
      </c>
      <c r="I611" s="55">
        <v>0</v>
      </c>
      <c r="J611" s="79">
        <f t="shared" si="31"/>
        <v>144</v>
      </c>
      <c r="K611" s="57">
        <f t="shared" si="28"/>
        <v>138.96</v>
      </c>
    </row>
    <row r="612" spans="1:11" ht="15" x14ac:dyDescent="0.2">
      <c r="A612" s="50" t="s">
        <v>482</v>
      </c>
      <c r="B612" s="51" t="s">
        <v>328</v>
      </c>
      <c r="C612" s="60"/>
      <c r="D612" s="58" t="s">
        <v>470</v>
      </c>
      <c r="E612" s="53">
        <v>3</v>
      </c>
      <c r="F612" s="9">
        <v>59.17</v>
      </c>
      <c r="G612" s="10">
        <v>60</v>
      </c>
      <c r="H612" s="54">
        <f t="shared" si="30"/>
        <v>180</v>
      </c>
      <c r="I612" s="55">
        <v>0</v>
      </c>
      <c r="J612" s="79">
        <f t="shared" si="31"/>
        <v>180</v>
      </c>
      <c r="K612" s="57">
        <f t="shared" si="28"/>
        <v>177.51</v>
      </c>
    </row>
    <row r="613" spans="1:11" ht="15" x14ac:dyDescent="0.2">
      <c r="A613" s="50" t="s">
        <v>482</v>
      </c>
      <c r="B613" s="51" t="s">
        <v>318</v>
      </c>
      <c r="C613" s="60"/>
      <c r="D613" s="58" t="s">
        <v>460</v>
      </c>
      <c r="E613" s="53">
        <v>3</v>
      </c>
      <c r="F613" s="9">
        <v>59.17</v>
      </c>
      <c r="G613" s="10">
        <v>60</v>
      </c>
      <c r="H613" s="54">
        <f t="shared" si="30"/>
        <v>180</v>
      </c>
      <c r="I613" s="55">
        <v>0</v>
      </c>
      <c r="J613" s="79">
        <f t="shared" si="31"/>
        <v>180</v>
      </c>
      <c r="K613" s="57">
        <f t="shared" si="28"/>
        <v>177.51</v>
      </c>
    </row>
    <row r="614" spans="1:11" ht="15" x14ac:dyDescent="0.2">
      <c r="A614" s="50" t="s">
        <v>482</v>
      </c>
      <c r="B614" s="51" t="s">
        <v>316</v>
      </c>
      <c r="C614" s="60" t="s">
        <v>532</v>
      </c>
      <c r="D614" s="58" t="s">
        <v>458</v>
      </c>
      <c r="E614" s="53">
        <v>60</v>
      </c>
      <c r="F614" s="9">
        <v>15.92</v>
      </c>
      <c r="G614" s="10">
        <v>16.329999999999998</v>
      </c>
      <c r="H614" s="54">
        <f t="shared" si="30"/>
        <v>979.8</v>
      </c>
      <c r="I614" s="55">
        <v>0</v>
      </c>
      <c r="J614" s="79">
        <f t="shared" si="31"/>
        <v>979.8</v>
      </c>
      <c r="K614" s="57">
        <f t="shared" si="28"/>
        <v>955.2</v>
      </c>
    </row>
    <row r="615" spans="1:11" ht="15" x14ac:dyDescent="0.2">
      <c r="A615" s="50" t="s">
        <v>482</v>
      </c>
      <c r="B615" s="51" t="s">
        <v>323</v>
      </c>
      <c r="C615" s="60"/>
      <c r="D615" s="58" t="s">
        <v>465</v>
      </c>
      <c r="E615" s="53">
        <v>36</v>
      </c>
      <c r="F615" s="9">
        <v>15.92</v>
      </c>
      <c r="G615" s="10">
        <v>16.329999999999998</v>
      </c>
      <c r="H615" s="54">
        <f t="shared" si="30"/>
        <v>587.87999999999988</v>
      </c>
      <c r="I615" s="55">
        <v>0</v>
      </c>
      <c r="J615" s="79">
        <f t="shared" si="31"/>
        <v>587.87999999999988</v>
      </c>
      <c r="K615" s="57">
        <f t="shared" si="28"/>
        <v>573.12</v>
      </c>
    </row>
    <row r="616" spans="1:11" ht="15" x14ac:dyDescent="0.2">
      <c r="A616" s="50" t="s">
        <v>482</v>
      </c>
      <c r="B616" s="51" t="s">
        <v>322</v>
      </c>
      <c r="C616" s="60"/>
      <c r="D616" s="58" t="s">
        <v>464</v>
      </c>
      <c r="E616" s="53">
        <v>24</v>
      </c>
      <c r="F616" s="9">
        <v>15.92</v>
      </c>
      <c r="G616" s="10">
        <v>16.329999999999998</v>
      </c>
      <c r="H616" s="54">
        <f t="shared" si="30"/>
        <v>391.91999999999996</v>
      </c>
      <c r="I616" s="55">
        <v>0</v>
      </c>
      <c r="J616" s="79">
        <f t="shared" si="31"/>
        <v>391.91999999999996</v>
      </c>
      <c r="K616" s="57">
        <f t="shared" si="28"/>
        <v>382.08</v>
      </c>
    </row>
    <row r="617" spans="1:11" ht="15" x14ac:dyDescent="0.2">
      <c r="A617" s="50" t="s">
        <v>482</v>
      </c>
      <c r="B617" s="51" t="s">
        <v>319</v>
      </c>
      <c r="C617" s="60"/>
      <c r="D617" s="58" t="s">
        <v>461</v>
      </c>
      <c r="E617" s="53">
        <v>12</v>
      </c>
      <c r="F617" s="9">
        <v>11.58</v>
      </c>
      <c r="G617" s="10">
        <v>12</v>
      </c>
      <c r="H617" s="54">
        <f t="shared" si="30"/>
        <v>144</v>
      </c>
      <c r="I617" s="55">
        <v>0</v>
      </c>
      <c r="J617" s="79">
        <f t="shared" si="31"/>
        <v>144</v>
      </c>
      <c r="K617" s="57">
        <f t="shared" si="28"/>
        <v>138.96</v>
      </c>
    </row>
    <row r="618" spans="1:11" ht="15" x14ac:dyDescent="0.2">
      <c r="A618" s="50" t="s">
        <v>482</v>
      </c>
      <c r="B618" s="51" t="s">
        <v>320</v>
      </c>
      <c r="C618" s="60"/>
      <c r="D618" s="58" t="s">
        <v>462</v>
      </c>
      <c r="E618" s="53">
        <v>12</v>
      </c>
      <c r="F618" s="9">
        <v>11.58</v>
      </c>
      <c r="G618" s="10">
        <v>12</v>
      </c>
      <c r="H618" s="54">
        <f t="shared" si="30"/>
        <v>144</v>
      </c>
      <c r="I618" s="55">
        <v>0</v>
      </c>
      <c r="J618" s="79">
        <f t="shared" si="31"/>
        <v>144</v>
      </c>
      <c r="K618" s="57">
        <f t="shared" si="28"/>
        <v>138.96</v>
      </c>
    </row>
    <row r="619" spans="1:11" ht="15" x14ac:dyDescent="0.2">
      <c r="A619" s="50" t="s">
        <v>482</v>
      </c>
      <c r="B619" s="51" t="s">
        <v>336</v>
      </c>
      <c r="C619" s="60"/>
      <c r="D619" s="58" t="s">
        <v>478</v>
      </c>
      <c r="E619" s="53">
        <v>12</v>
      </c>
      <c r="F619" s="9">
        <v>11.58</v>
      </c>
      <c r="G619" s="10">
        <v>12</v>
      </c>
      <c r="H619" s="54">
        <f t="shared" si="30"/>
        <v>144</v>
      </c>
      <c r="I619" s="55">
        <v>0</v>
      </c>
      <c r="J619" s="79">
        <f t="shared" si="31"/>
        <v>144</v>
      </c>
      <c r="K619" s="57">
        <f t="shared" si="28"/>
        <v>138.96</v>
      </c>
    </row>
    <row r="620" spans="1:11" ht="15" x14ac:dyDescent="0.2">
      <c r="A620" s="50" t="s">
        <v>482</v>
      </c>
      <c r="B620" s="51" t="s">
        <v>317</v>
      </c>
      <c r="C620" s="60"/>
      <c r="D620" s="58" t="s">
        <v>459</v>
      </c>
      <c r="E620" s="53">
        <v>24</v>
      </c>
      <c r="F620" s="9">
        <v>59.17</v>
      </c>
      <c r="G620" s="10">
        <v>60</v>
      </c>
      <c r="H620" s="54">
        <f t="shared" si="30"/>
        <v>1440</v>
      </c>
      <c r="I620" s="55">
        <v>0</v>
      </c>
      <c r="J620" s="79">
        <f t="shared" si="31"/>
        <v>1440</v>
      </c>
      <c r="K620" s="57">
        <f t="shared" si="28"/>
        <v>1420.08</v>
      </c>
    </row>
    <row r="621" spans="1:11" ht="15" x14ac:dyDescent="0.2">
      <c r="A621" s="50" t="s">
        <v>482</v>
      </c>
      <c r="B621" s="51" t="s">
        <v>328</v>
      </c>
      <c r="C621" s="60"/>
      <c r="D621" s="58" t="s">
        <v>470</v>
      </c>
      <c r="E621" s="53">
        <v>6</v>
      </c>
      <c r="F621" s="9">
        <v>59.17</v>
      </c>
      <c r="G621" s="10">
        <v>60</v>
      </c>
      <c r="H621" s="54">
        <f t="shared" si="30"/>
        <v>360</v>
      </c>
      <c r="I621" s="55">
        <v>0</v>
      </c>
      <c r="J621" s="79">
        <f t="shared" si="31"/>
        <v>360</v>
      </c>
      <c r="K621" s="57">
        <f t="shared" si="28"/>
        <v>355.02</v>
      </c>
    </row>
    <row r="622" spans="1:11" ht="15" x14ac:dyDescent="0.2">
      <c r="A622" s="50" t="s">
        <v>482</v>
      </c>
      <c r="B622" s="51" t="s">
        <v>318</v>
      </c>
      <c r="C622" s="60"/>
      <c r="D622" s="58" t="s">
        <v>460</v>
      </c>
      <c r="E622" s="53">
        <v>6</v>
      </c>
      <c r="F622" s="9">
        <v>59.17</v>
      </c>
      <c r="G622" s="10">
        <v>60</v>
      </c>
      <c r="H622" s="54">
        <f t="shared" si="30"/>
        <v>360</v>
      </c>
      <c r="I622" s="55">
        <v>0</v>
      </c>
      <c r="J622" s="79">
        <f t="shared" si="31"/>
        <v>360</v>
      </c>
      <c r="K622" s="57">
        <f t="shared" si="28"/>
        <v>355.02</v>
      </c>
    </row>
    <row r="623" spans="1:11" ht="15" x14ac:dyDescent="0.2">
      <c r="A623" s="50" t="s">
        <v>482</v>
      </c>
      <c r="B623" s="51" t="s">
        <v>316</v>
      </c>
      <c r="C623" s="60" t="s">
        <v>533</v>
      </c>
      <c r="D623" s="58" t="s">
        <v>458</v>
      </c>
      <c r="E623" s="53">
        <v>24</v>
      </c>
      <c r="F623" s="9">
        <v>15.92</v>
      </c>
      <c r="G623" s="10">
        <v>16.329999999999998</v>
      </c>
      <c r="H623" s="54">
        <f t="shared" si="30"/>
        <v>391.91999999999996</v>
      </c>
      <c r="I623" s="55">
        <v>0</v>
      </c>
      <c r="J623" s="79">
        <f t="shared" si="31"/>
        <v>391.91999999999996</v>
      </c>
      <c r="K623" s="57">
        <f t="shared" si="28"/>
        <v>382.08</v>
      </c>
    </row>
    <row r="624" spans="1:11" ht="15" x14ac:dyDescent="0.2">
      <c r="A624" s="50" t="s">
        <v>482</v>
      </c>
      <c r="B624" s="51" t="s">
        <v>323</v>
      </c>
      <c r="C624" s="60"/>
      <c r="D624" s="58" t="s">
        <v>465</v>
      </c>
      <c r="E624" s="53">
        <v>12</v>
      </c>
      <c r="F624" s="9">
        <v>15.92</v>
      </c>
      <c r="G624" s="10">
        <v>16.329999999999998</v>
      </c>
      <c r="H624" s="54">
        <f t="shared" si="30"/>
        <v>195.95999999999998</v>
      </c>
      <c r="I624" s="55">
        <v>0</v>
      </c>
      <c r="J624" s="79">
        <f t="shared" si="31"/>
        <v>195.95999999999998</v>
      </c>
      <c r="K624" s="57">
        <f t="shared" si="28"/>
        <v>191.04</v>
      </c>
    </row>
    <row r="625" spans="1:13" ht="15" x14ac:dyDescent="0.2">
      <c r="A625" s="50" t="s">
        <v>482</v>
      </c>
      <c r="B625" s="51" t="s">
        <v>319</v>
      </c>
      <c r="C625" s="60"/>
      <c r="D625" s="58" t="s">
        <v>461</v>
      </c>
      <c r="E625" s="53">
        <v>36</v>
      </c>
      <c r="F625" s="9">
        <v>11.58</v>
      </c>
      <c r="G625" s="10">
        <v>12</v>
      </c>
      <c r="H625" s="54">
        <f t="shared" si="30"/>
        <v>432</v>
      </c>
      <c r="I625" s="55">
        <v>0</v>
      </c>
      <c r="J625" s="79">
        <f t="shared" si="31"/>
        <v>432</v>
      </c>
      <c r="K625" s="57">
        <f t="shared" si="28"/>
        <v>416.88</v>
      </c>
    </row>
    <row r="626" spans="1:13" ht="15" x14ac:dyDescent="0.2">
      <c r="A626" s="50" t="s">
        <v>482</v>
      </c>
      <c r="B626" s="51" t="s">
        <v>316</v>
      </c>
      <c r="C626" s="60" t="s">
        <v>534</v>
      </c>
      <c r="D626" s="58" t="s">
        <v>458</v>
      </c>
      <c r="E626" s="53">
        <v>240</v>
      </c>
      <c r="F626" s="9">
        <v>15.92</v>
      </c>
      <c r="G626" s="10">
        <v>16.329999999999998</v>
      </c>
      <c r="H626" s="54">
        <f t="shared" si="30"/>
        <v>3919.2</v>
      </c>
      <c r="I626" s="55">
        <v>0</v>
      </c>
      <c r="J626" s="79">
        <f t="shared" si="31"/>
        <v>3919.2</v>
      </c>
      <c r="K626" s="57">
        <f t="shared" si="28"/>
        <v>3820.8</v>
      </c>
    </row>
    <row r="627" spans="1:13" ht="15" x14ac:dyDescent="0.2">
      <c r="A627" s="50" t="s">
        <v>482</v>
      </c>
      <c r="B627" s="51" t="s">
        <v>310</v>
      </c>
      <c r="C627" s="60"/>
      <c r="D627" s="58" t="s">
        <v>452</v>
      </c>
      <c r="E627" s="53">
        <v>6</v>
      </c>
      <c r="F627" s="9">
        <v>36</v>
      </c>
      <c r="G627" s="10">
        <v>37.33</v>
      </c>
      <c r="H627" s="54">
        <f t="shared" si="30"/>
        <v>223.98</v>
      </c>
      <c r="I627" s="55">
        <v>0</v>
      </c>
      <c r="J627" s="79">
        <f t="shared" si="31"/>
        <v>223.98</v>
      </c>
      <c r="K627" s="57">
        <f t="shared" si="28"/>
        <v>216</v>
      </c>
    </row>
    <row r="628" spans="1:13" ht="15" x14ac:dyDescent="0.2">
      <c r="A628" s="50" t="s">
        <v>482</v>
      </c>
      <c r="B628" s="51" t="s">
        <v>311</v>
      </c>
      <c r="C628" s="60"/>
      <c r="D628" s="58" t="s">
        <v>453</v>
      </c>
      <c r="E628" s="53">
        <v>6</v>
      </c>
      <c r="F628" s="9">
        <v>36.5</v>
      </c>
      <c r="G628" s="10">
        <v>37.33</v>
      </c>
      <c r="H628" s="54">
        <f t="shared" si="30"/>
        <v>223.98</v>
      </c>
      <c r="I628" s="55">
        <v>0</v>
      </c>
      <c r="J628" s="79">
        <f t="shared" si="31"/>
        <v>223.98</v>
      </c>
      <c r="K628" s="57">
        <f t="shared" si="28"/>
        <v>219</v>
      </c>
    </row>
    <row r="629" spans="1:13" ht="15" x14ac:dyDescent="0.2">
      <c r="A629" s="50" t="s">
        <v>482</v>
      </c>
      <c r="B629" s="51" t="s">
        <v>317</v>
      </c>
      <c r="C629" s="60"/>
      <c r="D629" s="58" t="s">
        <v>459</v>
      </c>
      <c r="E629" s="53">
        <v>12</v>
      </c>
      <c r="F629" s="9">
        <v>59.17</v>
      </c>
      <c r="G629" s="10">
        <v>60</v>
      </c>
      <c r="H629" s="54">
        <f t="shared" si="30"/>
        <v>720</v>
      </c>
      <c r="I629" s="55">
        <v>0</v>
      </c>
      <c r="J629" s="79">
        <f t="shared" si="31"/>
        <v>720</v>
      </c>
      <c r="K629" s="57">
        <f t="shared" si="28"/>
        <v>710.04</v>
      </c>
    </row>
    <row r="630" spans="1:13" ht="15" x14ac:dyDescent="0.2">
      <c r="A630" s="50" t="s">
        <v>482</v>
      </c>
      <c r="B630" s="51" t="s">
        <v>331</v>
      </c>
      <c r="C630" s="60" t="s">
        <v>535</v>
      </c>
      <c r="D630" s="58" t="s">
        <v>473</v>
      </c>
      <c r="E630" s="53">
        <v>24</v>
      </c>
      <c r="F630" s="9">
        <v>8.7100000000000009</v>
      </c>
      <c r="G630" s="10">
        <v>9.3800000000000008</v>
      </c>
      <c r="H630" s="54">
        <f t="shared" si="30"/>
        <v>225.12</v>
      </c>
      <c r="I630" s="55">
        <v>0.12</v>
      </c>
      <c r="J630" s="79">
        <f t="shared" si="31"/>
        <v>225</v>
      </c>
      <c r="K630" s="57">
        <f t="shared" si="28"/>
        <v>209.04000000000002</v>
      </c>
    </row>
    <row r="631" spans="1:13" ht="15" x14ac:dyDescent="0.2">
      <c r="A631" s="50" t="s">
        <v>482</v>
      </c>
      <c r="B631" s="51" t="s">
        <v>319</v>
      </c>
      <c r="C631" s="60" t="s">
        <v>536</v>
      </c>
      <c r="D631" s="58" t="s">
        <v>461</v>
      </c>
      <c r="E631" s="53">
        <v>60</v>
      </c>
      <c r="F631" s="9">
        <v>11.58</v>
      </c>
      <c r="G631" s="10">
        <v>12</v>
      </c>
      <c r="H631" s="54">
        <f t="shared" si="30"/>
        <v>720</v>
      </c>
      <c r="I631" s="55">
        <v>0</v>
      </c>
      <c r="J631" s="79">
        <f t="shared" si="31"/>
        <v>720</v>
      </c>
      <c r="K631" s="57">
        <f t="shared" si="28"/>
        <v>694.8</v>
      </c>
    </row>
    <row r="632" spans="1:13" ht="15" x14ac:dyDescent="0.2">
      <c r="A632" s="50" t="s">
        <v>482</v>
      </c>
      <c r="B632" s="51" t="s">
        <v>320</v>
      </c>
      <c r="C632" s="60"/>
      <c r="D632" s="58" t="s">
        <v>462</v>
      </c>
      <c r="E632" s="53">
        <v>24</v>
      </c>
      <c r="F632" s="9">
        <v>11.58</v>
      </c>
      <c r="G632" s="10">
        <v>12</v>
      </c>
      <c r="H632" s="54">
        <f t="shared" si="30"/>
        <v>288</v>
      </c>
      <c r="I632" s="55">
        <v>0</v>
      </c>
      <c r="J632" s="79">
        <f t="shared" si="31"/>
        <v>288</v>
      </c>
      <c r="K632" s="57">
        <f t="shared" si="28"/>
        <v>277.92</v>
      </c>
    </row>
    <row r="633" spans="1:13" ht="15" x14ac:dyDescent="0.2">
      <c r="A633" s="50" t="s">
        <v>482</v>
      </c>
      <c r="B633" s="51" t="s">
        <v>324</v>
      </c>
      <c r="C633" s="60" t="s">
        <v>537</v>
      </c>
      <c r="D633" s="58" t="s">
        <v>466</v>
      </c>
      <c r="E633" s="53">
        <v>30</v>
      </c>
      <c r="F633" s="9">
        <v>6.67</v>
      </c>
      <c r="G633" s="10">
        <v>7.25</v>
      </c>
      <c r="H633" s="54">
        <f t="shared" si="30"/>
        <v>217.5</v>
      </c>
      <c r="I633" s="55">
        <v>1.5</v>
      </c>
      <c r="J633" s="79">
        <f t="shared" si="31"/>
        <v>216</v>
      </c>
      <c r="K633" s="57">
        <f t="shared" si="28"/>
        <v>200.1</v>
      </c>
    </row>
    <row r="634" spans="1:13" ht="15" x14ac:dyDescent="0.2">
      <c r="A634" s="50" t="s">
        <v>482</v>
      </c>
      <c r="B634" s="51" t="s">
        <v>316</v>
      </c>
      <c r="C634" s="60" t="s">
        <v>538</v>
      </c>
      <c r="D634" s="58" t="s">
        <v>458</v>
      </c>
      <c r="E634" s="53">
        <v>24</v>
      </c>
      <c r="F634" s="9">
        <v>15.92</v>
      </c>
      <c r="G634" s="10">
        <v>16.329999999999998</v>
      </c>
      <c r="H634" s="54">
        <f t="shared" si="30"/>
        <v>391.91999999999996</v>
      </c>
      <c r="I634" s="55">
        <v>0</v>
      </c>
      <c r="J634" s="79">
        <f t="shared" si="31"/>
        <v>391.91999999999996</v>
      </c>
      <c r="K634" s="57">
        <f t="shared" si="28"/>
        <v>382.08</v>
      </c>
    </row>
    <row r="635" spans="1:13" ht="15" x14ac:dyDescent="0.2">
      <c r="A635" s="50" t="s">
        <v>482</v>
      </c>
      <c r="B635" s="51" t="s">
        <v>335</v>
      </c>
      <c r="C635" s="60" t="s">
        <v>539</v>
      </c>
      <c r="D635" s="58" t="s">
        <v>477</v>
      </c>
      <c r="E635" s="53">
        <v>12</v>
      </c>
      <c r="F635" s="9">
        <v>7.04</v>
      </c>
      <c r="G635" s="10">
        <v>7.54</v>
      </c>
      <c r="H635" s="54">
        <f t="shared" si="30"/>
        <v>90.48</v>
      </c>
      <c r="I635" s="55">
        <v>0</v>
      </c>
      <c r="J635" s="79">
        <f>(G635*E635)-I635</f>
        <v>90.48</v>
      </c>
      <c r="K635" s="57">
        <f t="shared" si="28"/>
        <v>84.48</v>
      </c>
    </row>
    <row r="636" spans="1:13" ht="15" x14ac:dyDescent="0.2">
      <c r="A636" s="50" t="s">
        <v>482</v>
      </c>
      <c r="B636" s="51" t="s">
        <v>326</v>
      </c>
      <c r="C636" s="60"/>
      <c r="D636" s="58" t="s">
        <v>468</v>
      </c>
      <c r="E636" s="53">
        <v>12</v>
      </c>
      <c r="F636" s="9">
        <v>7.04</v>
      </c>
      <c r="G636" s="10">
        <v>7.54</v>
      </c>
      <c r="H636" s="54">
        <f t="shared" si="30"/>
        <v>90.48</v>
      </c>
      <c r="I636" s="55">
        <v>0</v>
      </c>
      <c r="J636" s="79">
        <f t="shared" si="31"/>
        <v>90.48</v>
      </c>
      <c r="K636" s="57">
        <f t="shared" si="28"/>
        <v>84.48</v>
      </c>
    </row>
    <row r="637" spans="1:13" ht="15" x14ac:dyDescent="0.2">
      <c r="A637" s="50" t="s">
        <v>482</v>
      </c>
      <c r="B637" s="51" t="s">
        <v>317</v>
      </c>
      <c r="C637" s="60" t="s">
        <v>540</v>
      </c>
      <c r="D637" s="58" t="s">
        <v>459</v>
      </c>
      <c r="E637" s="53">
        <v>1</v>
      </c>
      <c r="F637" s="9">
        <v>59.17</v>
      </c>
      <c r="G637" s="10">
        <v>60</v>
      </c>
      <c r="H637" s="54">
        <f t="shared" si="30"/>
        <v>60</v>
      </c>
      <c r="I637" s="55">
        <v>0</v>
      </c>
      <c r="J637" s="79">
        <f t="shared" si="31"/>
        <v>60</v>
      </c>
      <c r="K637" s="57">
        <f t="shared" si="28"/>
        <v>59.17</v>
      </c>
      <c r="L637" s="2">
        <v>51090.36</v>
      </c>
      <c r="M637" s="2">
        <v>51090.36</v>
      </c>
    </row>
    <row r="638" spans="1:13" ht="15" x14ac:dyDescent="0.2">
      <c r="A638" s="50" t="s">
        <v>542</v>
      </c>
      <c r="B638" s="51" t="s">
        <v>316</v>
      </c>
      <c r="C638" s="60" t="s">
        <v>555</v>
      </c>
      <c r="D638" s="58" t="s">
        <v>572</v>
      </c>
      <c r="E638" s="53">
        <v>12</v>
      </c>
      <c r="F638" s="9">
        <v>15.92</v>
      </c>
      <c r="G638" s="10">
        <v>16.329999999999998</v>
      </c>
      <c r="H638" s="54">
        <f t="shared" ref="H638:H716" si="32">E638*G638</f>
        <v>195.95999999999998</v>
      </c>
      <c r="I638" s="55">
        <v>0</v>
      </c>
      <c r="J638" s="80">
        <f t="shared" ref="J638:J651" si="33">(G638*E638)-I638</f>
        <v>195.95999999999998</v>
      </c>
      <c r="K638" s="57">
        <f t="shared" ref="K638" si="34">E638*F638</f>
        <v>191.04</v>
      </c>
    </row>
    <row r="639" spans="1:13" ht="15" x14ac:dyDescent="0.2">
      <c r="A639" s="50" t="s">
        <v>542</v>
      </c>
      <c r="B639" s="51" t="s">
        <v>322</v>
      </c>
      <c r="C639" s="60"/>
      <c r="D639" s="58" t="s">
        <v>573</v>
      </c>
      <c r="E639" s="53">
        <v>12</v>
      </c>
      <c r="F639" s="9">
        <v>15.92</v>
      </c>
      <c r="G639" s="10">
        <v>16.329999999999998</v>
      </c>
      <c r="H639" s="54">
        <f t="shared" si="32"/>
        <v>195.95999999999998</v>
      </c>
      <c r="I639" s="55">
        <v>0</v>
      </c>
      <c r="J639" s="80">
        <f t="shared" si="33"/>
        <v>195.95999999999998</v>
      </c>
      <c r="K639" s="57">
        <f t="shared" ref="K639:K716" si="35">E639*F639</f>
        <v>191.04</v>
      </c>
    </row>
    <row r="640" spans="1:13" ht="15" x14ac:dyDescent="0.2">
      <c r="A640" s="50" t="s">
        <v>542</v>
      </c>
      <c r="B640" s="51" t="s">
        <v>323</v>
      </c>
      <c r="C640" s="60"/>
      <c r="D640" s="58" t="s">
        <v>574</v>
      </c>
      <c r="E640" s="53">
        <v>12</v>
      </c>
      <c r="F640" s="9">
        <v>15.92</v>
      </c>
      <c r="G640" s="10">
        <v>16.329999999999998</v>
      </c>
      <c r="H640" s="54">
        <f t="shared" si="32"/>
        <v>195.95999999999998</v>
      </c>
      <c r="I640" s="55">
        <v>0</v>
      </c>
      <c r="J640" s="80">
        <f t="shared" si="33"/>
        <v>195.95999999999998</v>
      </c>
      <c r="K640" s="57">
        <f t="shared" si="35"/>
        <v>191.04</v>
      </c>
    </row>
    <row r="641" spans="1:11" ht="15" x14ac:dyDescent="0.2">
      <c r="A641" s="50" t="s">
        <v>542</v>
      </c>
      <c r="B641" s="51" t="s">
        <v>316</v>
      </c>
      <c r="C641" s="60" t="s">
        <v>556</v>
      </c>
      <c r="D641" s="58" t="s">
        <v>572</v>
      </c>
      <c r="E641" s="53">
        <v>24</v>
      </c>
      <c r="F641" s="9">
        <v>15.92</v>
      </c>
      <c r="G641" s="10">
        <v>16.329999999999998</v>
      </c>
      <c r="H641" s="54">
        <f t="shared" si="32"/>
        <v>391.91999999999996</v>
      </c>
      <c r="I641" s="55">
        <v>0</v>
      </c>
      <c r="J641" s="80">
        <f t="shared" si="33"/>
        <v>391.91999999999996</v>
      </c>
      <c r="K641" s="57">
        <f t="shared" si="35"/>
        <v>382.08</v>
      </c>
    </row>
    <row r="642" spans="1:11" ht="15" x14ac:dyDescent="0.2">
      <c r="A642" s="50" t="s">
        <v>542</v>
      </c>
      <c r="B642" s="51" t="s">
        <v>335</v>
      </c>
      <c r="C642" s="60"/>
      <c r="D642" s="58" t="s">
        <v>575</v>
      </c>
      <c r="E642" s="53">
        <v>24</v>
      </c>
      <c r="F642" s="9">
        <v>7.04</v>
      </c>
      <c r="G642" s="10">
        <v>8.17</v>
      </c>
      <c r="H642" s="54">
        <f t="shared" si="32"/>
        <v>196.07999999999998</v>
      </c>
      <c r="I642" s="55">
        <v>0</v>
      </c>
      <c r="J642" s="80">
        <f t="shared" si="33"/>
        <v>196.07999999999998</v>
      </c>
      <c r="K642" s="57">
        <f t="shared" si="35"/>
        <v>168.96</v>
      </c>
    </row>
    <row r="643" spans="1:11" ht="15" x14ac:dyDescent="0.2">
      <c r="A643" s="50" t="s">
        <v>542</v>
      </c>
      <c r="B643" s="51" t="s">
        <v>316</v>
      </c>
      <c r="C643" s="60" t="s">
        <v>557</v>
      </c>
      <c r="D643" s="58" t="s">
        <v>572</v>
      </c>
      <c r="E643" s="53">
        <v>24</v>
      </c>
      <c r="F643" s="9">
        <v>15.92</v>
      </c>
      <c r="G643" s="10">
        <v>16.329999999999998</v>
      </c>
      <c r="H643" s="54">
        <f t="shared" si="32"/>
        <v>391.91999999999996</v>
      </c>
      <c r="I643" s="55">
        <v>0</v>
      </c>
      <c r="J643" s="80">
        <f t="shared" si="33"/>
        <v>391.91999999999996</v>
      </c>
      <c r="K643" s="57">
        <f t="shared" si="35"/>
        <v>382.08</v>
      </c>
    </row>
    <row r="644" spans="1:11" ht="15" x14ac:dyDescent="0.2">
      <c r="A644" s="50" t="s">
        <v>542</v>
      </c>
      <c r="B644" s="51" t="s">
        <v>319</v>
      </c>
      <c r="C644" s="60"/>
      <c r="D644" s="58" t="s">
        <v>576</v>
      </c>
      <c r="E644" s="53">
        <v>24</v>
      </c>
      <c r="F644" s="9">
        <v>11.58</v>
      </c>
      <c r="G644" s="10">
        <v>12</v>
      </c>
      <c r="H644" s="54">
        <f t="shared" si="32"/>
        <v>288</v>
      </c>
      <c r="I644" s="55">
        <v>0</v>
      </c>
      <c r="J644" s="80">
        <f t="shared" si="33"/>
        <v>288</v>
      </c>
      <c r="K644" s="57">
        <f t="shared" si="35"/>
        <v>277.92</v>
      </c>
    </row>
    <row r="645" spans="1:11" ht="15" x14ac:dyDescent="0.2">
      <c r="A645" s="50" t="s">
        <v>542</v>
      </c>
      <c r="B645" s="51" t="s">
        <v>335</v>
      </c>
      <c r="C645" s="60" t="s">
        <v>558</v>
      </c>
      <c r="D645" s="58" t="s">
        <v>575</v>
      </c>
      <c r="E645" s="53">
        <v>24</v>
      </c>
      <c r="F645" s="9">
        <v>7.04</v>
      </c>
      <c r="G645" s="10">
        <v>8.17</v>
      </c>
      <c r="H645" s="54">
        <f t="shared" si="32"/>
        <v>196.07999999999998</v>
      </c>
      <c r="I645" s="55">
        <v>0</v>
      </c>
      <c r="J645" s="80">
        <f t="shared" si="33"/>
        <v>196.07999999999998</v>
      </c>
      <c r="K645" s="57">
        <f t="shared" si="35"/>
        <v>168.96</v>
      </c>
    </row>
    <row r="646" spans="1:11" ht="15" x14ac:dyDescent="0.2">
      <c r="A646" s="50" t="s">
        <v>542</v>
      </c>
      <c r="B646" s="51" t="s">
        <v>313</v>
      </c>
      <c r="C646" s="60"/>
      <c r="D646" s="58" t="s">
        <v>577</v>
      </c>
      <c r="E646" s="53">
        <v>12</v>
      </c>
      <c r="F646" s="9">
        <v>7.04</v>
      </c>
      <c r="G646" s="10">
        <v>8.17</v>
      </c>
      <c r="H646" s="54">
        <f t="shared" si="32"/>
        <v>98.039999999999992</v>
      </c>
      <c r="I646" s="55">
        <v>0</v>
      </c>
      <c r="J646" s="80">
        <f t="shared" si="33"/>
        <v>98.039999999999992</v>
      </c>
      <c r="K646" s="57">
        <f t="shared" si="35"/>
        <v>84.48</v>
      </c>
    </row>
    <row r="647" spans="1:11" ht="15" x14ac:dyDescent="0.2">
      <c r="A647" s="50" t="s">
        <v>542</v>
      </c>
      <c r="B647" s="51" t="s">
        <v>316</v>
      </c>
      <c r="C647" s="60"/>
      <c r="D647" s="58" t="s">
        <v>572</v>
      </c>
      <c r="E647" s="53">
        <v>24</v>
      </c>
      <c r="F647" s="9">
        <v>15.92</v>
      </c>
      <c r="G647" s="10">
        <v>16.329999999999998</v>
      </c>
      <c r="H647" s="54">
        <f t="shared" si="32"/>
        <v>391.91999999999996</v>
      </c>
      <c r="I647" s="55">
        <v>0</v>
      </c>
      <c r="J647" s="80">
        <f t="shared" si="33"/>
        <v>391.91999999999996</v>
      </c>
      <c r="K647" s="57">
        <f t="shared" si="35"/>
        <v>382.08</v>
      </c>
    </row>
    <row r="648" spans="1:11" ht="15" x14ac:dyDescent="0.2">
      <c r="A648" s="50" t="s">
        <v>542</v>
      </c>
      <c r="B648" s="51" t="s">
        <v>323</v>
      </c>
      <c r="C648" s="60"/>
      <c r="D648" s="58" t="s">
        <v>574</v>
      </c>
      <c r="E648" s="53">
        <v>12</v>
      </c>
      <c r="F648" s="9">
        <v>15.92</v>
      </c>
      <c r="G648" s="10">
        <v>16.329999999999998</v>
      </c>
      <c r="H648" s="54">
        <f t="shared" si="32"/>
        <v>195.95999999999998</v>
      </c>
      <c r="I648" s="55">
        <v>0</v>
      </c>
      <c r="J648" s="80">
        <f t="shared" si="33"/>
        <v>195.95999999999998</v>
      </c>
      <c r="K648" s="57">
        <f t="shared" si="35"/>
        <v>191.04</v>
      </c>
    </row>
    <row r="649" spans="1:11" ht="15" x14ac:dyDescent="0.2">
      <c r="A649" s="50" t="s">
        <v>542</v>
      </c>
      <c r="B649" s="51" t="s">
        <v>335</v>
      </c>
      <c r="C649" s="60" t="s">
        <v>559</v>
      </c>
      <c r="D649" s="58" t="s">
        <v>575</v>
      </c>
      <c r="E649" s="53">
        <v>24</v>
      </c>
      <c r="F649" s="9">
        <v>7.04</v>
      </c>
      <c r="G649" s="10">
        <v>8.17</v>
      </c>
      <c r="H649" s="54">
        <f t="shared" si="32"/>
        <v>196.07999999999998</v>
      </c>
      <c r="I649" s="55">
        <v>0</v>
      </c>
      <c r="J649" s="80">
        <f t="shared" si="33"/>
        <v>196.07999999999998</v>
      </c>
      <c r="K649" s="57">
        <f t="shared" si="35"/>
        <v>168.96</v>
      </c>
    </row>
    <row r="650" spans="1:11" ht="15" x14ac:dyDescent="0.2">
      <c r="A650" s="50" t="s">
        <v>542</v>
      </c>
      <c r="B650" s="51" t="s">
        <v>322</v>
      </c>
      <c r="C650" s="60"/>
      <c r="D650" s="58" t="s">
        <v>573</v>
      </c>
      <c r="E650" s="53">
        <v>12</v>
      </c>
      <c r="F650" s="9">
        <v>15.92</v>
      </c>
      <c r="G650" s="10">
        <v>16.329999999999998</v>
      </c>
      <c r="H650" s="54">
        <f t="shared" si="32"/>
        <v>195.95999999999998</v>
      </c>
      <c r="I650" s="55">
        <v>0</v>
      </c>
      <c r="J650" s="80">
        <f t="shared" si="33"/>
        <v>195.95999999999998</v>
      </c>
      <c r="K650" s="57">
        <f t="shared" si="35"/>
        <v>191.04</v>
      </c>
    </row>
    <row r="651" spans="1:11" ht="15" x14ac:dyDescent="0.2">
      <c r="A651" s="50" t="s">
        <v>542</v>
      </c>
      <c r="B651" s="51" t="s">
        <v>316</v>
      </c>
      <c r="C651" s="60"/>
      <c r="D651" s="58" t="s">
        <v>572</v>
      </c>
      <c r="E651" s="53">
        <v>36</v>
      </c>
      <c r="F651" s="9">
        <v>15.92</v>
      </c>
      <c r="G651" s="10">
        <v>16.329999999999998</v>
      </c>
      <c r="H651" s="54">
        <f t="shared" si="32"/>
        <v>587.87999999999988</v>
      </c>
      <c r="I651" s="55">
        <v>0</v>
      </c>
      <c r="J651" s="80">
        <f t="shared" si="33"/>
        <v>587.87999999999988</v>
      </c>
      <c r="K651" s="57">
        <f t="shared" si="35"/>
        <v>573.12</v>
      </c>
    </row>
    <row r="652" spans="1:11" ht="15" x14ac:dyDescent="0.2">
      <c r="A652" s="50" t="s">
        <v>542</v>
      </c>
      <c r="B652" s="51" t="s">
        <v>329</v>
      </c>
      <c r="C652" s="60" t="s">
        <v>560</v>
      </c>
      <c r="D652" s="58" t="s">
        <v>578</v>
      </c>
      <c r="E652" s="53">
        <v>6</v>
      </c>
      <c r="F652" s="9">
        <v>21.33</v>
      </c>
      <c r="G652" s="10">
        <v>23.58</v>
      </c>
      <c r="H652" s="54">
        <f t="shared" si="32"/>
        <v>141.47999999999999</v>
      </c>
      <c r="I652" s="55">
        <v>0</v>
      </c>
      <c r="J652" s="56">
        <f t="shared" ref="J652:J716" si="36">(G652*E652)-I652</f>
        <v>141.47999999999999</v>
      </c>
      <c r="K652" s="57">
        <f t="shared" si="35"/>
        <v>127.97999999999999</v>
      </c>
    </row>
    <row r="653" spans="1:11" ht="15" x14ac:dyDescent="0.2">
      <c r="A653" s="50" t="s">
        <v>542</v>
      </c>
      <c r="B653" s="51" t="s">
        <v>325</v>
      </c>
      <c r="C653" s="60"/>
      <c r="D653" s="58" t="s">
        <v>579</v>
      </c>
      <c r="E653" s="53">
        <v>6</v>
      </c>
      <c r="F653" s="9">
        <v>21.33</v>
      </c>
      <c r="G653" s="10">
        <v>23.58</v>
      </c>
      <c r="H653" s="54">
        <f t="shared" si="32"/>
        <v>141.47999999999999</v>
      </c>
      <c r="I653" s="55">
        <v>0</v>
      </c>
      <c r="J653" s="56">
        <f t="shared" si="36"/>
        <v>141.47999999999999</v>
      </c>
      <c r="K653" s="57">
        <f t="shared" si="35"/>
        <v>127.97999999999999</v>
      </c>
    </row>
    <row r="654" spans="1:11" ht="15" x14ac:dyDescent="0.2">
      <c r="A654" s="50" t="s">
        <v>542</v>
      </c>
      <c r="B654" s="51" t="s">
        <v>335</v>
      </c>
      <c r="C654" s="60"/>
      <c r="D654" s="58" t="s">
        <v>575</v>
      </c>
      <c r="E654" s="53">
        <v>24</v>
      </c>
      <c r="F654" s="9">
        <v>7.04</v>
      </c>
      <c r="G654" s="10">
        <v>8.17</v>
      </c>
      <c r="H654" s="54">
        <f t="shared" si="32"/>
        <v>196.07999999999998</v>
      </c>
      <c r="I654" s="55">
        <v>0</v>
      </c>
      <c r="J654" s="56">
        <f t="shared" si="36"/>
        <v>196.07999999999998</v>
      </c>
      <c r="K654" s="57">
        <f t="shared" si="35"/>
        <v>168.96</v>
      </c>
    </row>
    <row r="655" spans="1:11" ht="15" x14ac:dyDescent="0.2">
      <c r="A655" s="50" t="s">
        <v>542</v>
      </c>
      <c r="B655" s="51" t="s">
        <v>316</v>
      </c>
      <c r="C655" s="60"/>
      <c r="D655" s="58" t="s">
        <v>572</v>
      </c>
      <c r="E655" s="53">
        <v>24</v>
      </c>
      <c r="F655" s="9">
        <v>15.92</v>
      </c>
      <c r="G655" s="10">
        <v>16.329999999999998</v>
      </c>
      <c r="H655" s="54">
        <f t="shared" si="32"/>
        <v>391.91999999999996</v>
      </c>
      <c r="I655" s="55">
        <v>0</v>
      </c>
      <c r="J655" s="56">
        <f t="shared" si="36"/>
        <v>391.91999999999996</v>
      </c>
      <c r="K655" s="57">
        <f t="shared" si="35"/>
        <v>382.08</v>
      </c>
    </row>
    <row r="656" spans="1:11" ht="15" x14ac:dyDescent="0.2">
      <c r="A656" s="50" t="s">
        <v>542</v>
      </c>
      <c r="B656" s="51" t="s">
        <v>317</v>
      </c>
      <c r="C656" s="60" t="s">
        <v>561</v>
      </c>
      <c r="D656" s="58" t="s">
        <v>580</v>
      </c>
      <c r="E656" s="53">
        <v>4</v>
      </c>
      <c r="F656" s="9">
        <v>59.17</v>
      </c>
      <c r="G656" s="10">
        <v>61</v>
      </c>
      <c r="H656" s="54">
        <f t="shared" si="32"/>
        <v>244</v>
      </c>
      <c r="I656" s="55">
        <v>0</v>
      </c>
      <c r="J656" s="56">
        <f t="shared" si="36"/>
        <v>244</v>
      </c>
      <c r="K656" s="57">
        <f t="shared" si="35"/>
        <v>236.68</v>
      </c>
    </row>
    <row r="657" spans="1:11" ht="15" x14ac:dyDescent="0.2">
      <c r="A657" s="50" t="s">
        <v>542</v>
      </c>
      <c r="B657" s="51" t="s">
        <v>318</v>
      </c>
      <c r="C657" s="60"/>
      <c r="D657" s="58" t="s">
        <v>581</v>
      </c>
      <c r="E657" s="53">
        <v>2</v>
      </c>
      <c r="F657" s="9">
        <v>59.17</v>
      </c>
      <c r="G657" s="10">
        <v>61</v>
      </c>
      <c r="H657" s="54">
        <f t="shared" si="32"/>
        <v>122</v>
      </c>
      <c r="I657" s="55">
        <v>0</v>
      </c>
      <c r="J657" s="56">
        <f t="shared" si="36"/>
        <v>122</v>
      </c>
      <c r="K657" s="57">
        <f t="shared" si="35"/>
        <v>118.34</v>
      </c>
    </row>
    <row r="658" spans="1:11" ht="15" x14ac:dyDescent="0.2">
      <c r="A658" s="50" t="s">
        <v>542</v>
      </c>
      <c r="B658" s="51" t="s">
        <v>317</v>
      </c>
      <c r="C658" s="60" t="s">
        <v>562</v>
      </c>
      <c r="D658" s="58" t="s">
        <v>580</v>
      </c>
      <c r="E658" s="53">
        <v>60</v>
      </c>
      <c r="F658" s="9">
        <v>59.17</v>
      </c>
      <c r="G658" s="10">
        <v>61</v>
      </c>
      <c r="H658" s="54">
        <f t="shared" si="32"/>
        <v>3660</v>
      </c>
      <c r="I658" s="55">
        <v>0</v>
      </c>
      <c r="J658" s="56">
        <f t="shared" si="36"/>
        <v>3660</v>
      </c>
      <c r="K658" s="57">
        <f t="shared" si="35"/>
        <v>3550.2000000000003</v>
      </c>
    </row>
    <row r="659" spans="1:11" ht="15" x14ac:dyDescent="0.2">
      <c r="A659" s="50" t="s">
        <v>542</v>
      </c>
      <c r="B659" s="51" t="s">
        <v>309</v>
      </c>
      <c r="C659" s="60"/>
      <c r="D659" s="58" t="s">
        <v>582</v>
      </c>
      <c r="E659" s="53">
        <v>24</v>
      </c>
      <c r="F659" s="9">
        <v>36</v>
      </c>
      <c r="G659" s="10">
        <v>37.33</v>
      </c>
      <c r="H659" s="54">
        <f t="shared" si="32"/>
        <v>895.92</v>
      </c>
      <c r="I659" s="55">
        <v>0</v>
      </c>
      <c r="J659" s="56">
        <f t="shared" si="36"/>
        <v>895.92</v>
      </c>
      <c r="K659" s="57">
        <f t="shared" si="35"/>
        <v>864</v>
      </c>
    </row>
    <row r="660" spans="1:11" ht="15" x14ac:dyDescent="0.2">
      <c r="A660" s="50" t="s">
        <v>542</v>
      </c>
      <c r="B660" s="51" t="s">
        <v>554</v>
      </c>
      <c r="C660" s="60"/>
      <c r="D660" s="58" t="s">
        <v>583</v>
      </c>
      <c r="E660" s="53">
        <v>12</v>
      </c>
      <c r="F660" s="9">
        <v>36</v>
      </c>
      <c r="G660" s="10">
        <v>37.33</v>
      </c>
      <c r="H660" s="54">
        <f t="shared" si="32"/>
        <v>447.96</v>
      </c>
      <c r="I660" s="55">
        <v>0</v>
      </c>
      <c r="J660" s="56">
        <f t="shared" si="36"/>
        <v>447.96</v>
      </c>
      <c r="K660" s="57">
        <f t="shared" si="35"/>
        <v>432</v>
      </c>
    </row>
    <row r="661" spans="1:11" ht="15" x14ac:dyDescent="0.2">
      <c r="A661" s="50" t="s">
        <v>542</v>
      </c>
      <c r="B661" s="51" t="s">
        <v>322</v>
      </c>
      <c r="C661" s="60" t="s">
        <v>563</v>
      </c>
      <c r="D661" s="58" t="s">
        <v>573</v>
      </c>
      <c r="E661" s="53">
        <v>60</v>
      </c>
      <c r="F661" s="9">
        <v>15.92</v>
      </c>
      <c r="G661" s="10">
        <v>16.329999999999998</v>
      </c>
      <c r="H661" s="54">
        <f t="shared" si="32"/>
        <v>979.8</v>
      </c>
      <c r="I661" s="55">
        <v>0</v>
      </c>
      <c r="J661" s="56">
        <f t="shared" si="36"/>
        <v>979.8</v>
      </c>
      <c r="K661" s="57">
        <f t="shared" si="35"/>
        <v>955.2</v>
      </c>
    </row>
    <row r="662" spans="1:11" ht="15" x14ac:dyDescent="0.2">
      <c r="A662" s="50" t="s">
        <v>542</v>
      </c>
      <c r="B662" s="51" t="s">
        <v>323</v>
      </c>
      <c r="C662" s="60"/>
      <c r="D662" s="58" t="s">
        <v>574</v>
      </c>
      <c r="E662" s="53">
        <v>60</v>
      </c>
      <c r="F662" s="9">
        <v>15.92</v>
      </c>
      <c r="G662" s="10">
        <v>16.329999999999998</v>
      </c>
      <c r="H662" s="54">
        <f t="shared" si="32"/>
        <v>979.8</v>
      </c>
      <c r="I662" s="55">
        <v>0</v>
      </c>
      <c r="J662" s="56">
        <f t="shared" si="36"/>
        <v>979.8</v>
      </c>
      <c r="K662" s="57">
        <f t="shared" si="35"/>
        <v>955.2</v>
      </c>
    </row>
    <row r="663" spans="1:11" ht="15" x14ac:dyDescent="0.2">
      <c r="A663" s="50" t="s">
        <v>542</v>
      </c>
      <c r="B663" s="51" t="s">
        <v>319</v>
      </c>
      <c r="C663" s="60"/>
      <c r="D663" s="58" t="s">
        <v>576</v>
      </c>
      <c r="E663" s="53">
        <v>36</v>
      </c>
      <c r="F663" s="9">
        <v>11.58</v>
      </c>
      <c r="G663" s="10">
        <v>12</v>
      </c>
      <c r="H663" s="54">
        <f t="shared" si="32"/>
        <v>432</v>
      </c>
      <c r="I663" s="55">
        <v>0</v>
      </c>
      <c r="J663" s="56">
        <f t="shared" si="36"/>
        <v>432</v>
      </c>
      <c r="K663" s="57">
        <f t="shared" si="35"/>
        <v>416.88</v>
      </c>
    </row>
    <row r="664" spans="1:11" ht="15" x14ac:dyDescent="0.2">
      <c r="A664" s="50" t="s">
        <v>542</v>
      </c>
      <c r="B664" s="51" t="s">
        <v>317</v>
      </c>
      <c r="C664" s="60"/>
      <c r="D664" s="58" t="s">
        <v>580</v>
      </c>
      <c r="E664" s="53">
        <v>24</v>
      </c>
      <c r="F664" s="9">
        <v>59.17</v>
      </c>
      <c r="G664" s="10">
        <v>61</v>
      </c>
      <c r="H664" s="54">
        <f t="shared" si="32"/>
        <v>1464</v>
      </c>
      <c r="I664" s="55">
        <v>0</v>
      </c>
      <c r="J664" s="56">
        <f t="shared" si="36"/>
        <v>1464</v>
      </c>
      <c r="K664" s="57">
        <f t="shared" si="35"/>
        <v>1420.08</v>
      </c>
    </row>
    <row r="665" spans="1:11" ht="15" x14ac:dyDescent="0.2">
      <c r="A665" s="50" t="s">
        <v>542</v>
      </c>
      <c r="B665" s="51" t="s">
        <v>335</v>
      </c>
      <c r="C665" s="60" t="s">
        <v>564</v>
      </c>
      <c r="D665" s="58" t="s">
        <v>575</v>
      </c>
      <c r="E665" s="53">
        <v>72</v>
      </c>
      <c r="F665" s="9">
        <v>7.04</v>
      </c>
      <c r="G665" s="10">
        <v>8.17</v>
      </c>
      <c r="H665" s="54">
        <f t="shared" si="32"/>
        <v>588.24</v>
      </c>
      <c r="I665" s="55">
        <v>0</v>
      </c>
      <c r="J665" s="80">
        <f t="shared" si="36"/>
        <v>588.24</v>
      </c>
      <c r="K665" s="57">
        <f t="shared" si="35"/>
        <v>506.88</v>
      </c>
    </row>
    <row r="666" spans="1:11" ht="15" x14ac:dyDescent="0.2">
      <c r="A666" s="50" t="s">
        <v>542</v>
      </c>
      <c r="B666" s="51" t="s">
        <v>316</v>
      </c>
      <c r="C666" s="60"/>
      <c r="D666" s="58" t="s">
        <v>572</v>
      </c>
      <c r="E666" s="53">
        <v>12</v>
      </c>
      <c r="F666" s="9">
        <v>15.92</v>
      </c>
      <c r="G666" s="10">
        <v>16.329999999999998</v>
      </c>
      <c r="H666" s="54">
        <f t="shared" si="32"/>
        <v>195.95999999999998</v>
      </c>
      <c r="I666" s="55">
        <v>0</v>
      </c>
      <c r="J666" s="80">
        <f t="shared" si="36"/>
        <v>195.95999999999998</v>
      </c>
      <c r="K666" s="57">
        <f t="shared" si="35"/>
        <v>191.04</v>
      </c>
    </row>
    <row r="667" spans="1:11" ht="15" x14ac:dyDescent="0.2">
      <c r="A667" s="50" t="s">
        <v>542</v>
      </c>
      <c r="B667" s="51" t="s">
        <v>319</v>
      </c>
      <c r="C667" s="60"/>
      <c r="D667" s="58" t="s">
        <v>576</v>
      </c>
      <c r="E667" s="53">
        <v>12</v>
      </c>
      <c r="F667" s="9">
        <v>11.58</v>
      </c>
      <c r="G667" s="10">
        <v>12</v>
      </c>
      <c r="H667" s="54">
        <f t="shared" si="32"/>
        <v>144</v>
      </c>
      <c r="I667" s="55">
        <v>0.2</v>
      </c>
      <c r="J667" s="80">
        <f t="shared" si="36"/>
        <v>143.80000000000001</v>
      </c>
      <c r="K667" s="57">
        <f t="shared" si="35"/>
        <v>138.96</v>
      </c>
    </row>
    <row r="668" spans="1:11" ht="15" x14ac:dyDescent="0.2">
      <c r="A668" s="50" t="s">
        <v>542</v>
      </c>
      <c r="B668" s="51" t="s">
        <v>329</v>
      </c>
      <c r="C668" s="60" t="s">
        <v>565</v>
      </c>
      <c r="D668" s="58" t="s">
        <v>578</v>
      </c>
      <c r="E668" s="53">
        <v>12</v>
      </c>
      <c r="F668" s="9">
        <v>21.33</v>
      </c>
      <c r="G668" s="10">
        <v>23.58</v>
      </c>
      <c r="H668" s="54">
        <f t="shared" si="32"/>
        <v>282.95999999999998</v>
      </c>
      <c r="I668" s="55">
        <v>0</v>
      </c>
      <c r="J668" s="80">
        <f t="shared" si="36"/>
        <v>282.95999999999998</v>
      </c>
      <c r="K668" s="57">
        <f t="shared" si="35"/>
        <v>255.95999999999998</v>
      </c>
    </row>
    <row r="669" spans="1:11" ht="15" x14ac:dyDescent="0.2">
      <c r="A669" s="50" t="s">
        <v>542</v>
      </c>
      <c r="B669" s="51" t="s">
        <v>325</v>
      </c>
      <c r="C669" s="60"/>
      <c r="D669" s="58" t="s">
        <v>579</v>
      </c>
      <c r="E669" s="53">
        <v>12</v>
      </c>
      <c r="F669" s="9">
        <v>21.33</v>
      </c>
      <c r="G669" s="10">
        <v>23.58</v>
      </c>
      <c r="H669" s="54">
        <f t="shared" si="32"/>
        <v>282.95999999999998</v>
      </c>
      <c r="I669" s="55">
        <v>0</v>
      </c>
      <c r="J669" s="80">
        <f t="shared" si="36"/>
        <v>282.95999999999998</v>
      </c>
      <c r="K669" s="57">
        <f t="shared" si="35"/>
        <v>255.95999999999998</v>
      </c>
    </row>
    <row r="670" spans="1:11" ht="15" x14ac:dyDescent="0.2">
      <c r="A670" s="50" t="s">
        <v>542</v>
      </c>
      <c r="B670" s="51" t="s">
        <v>335</v>
      </c>
      <c r="C670" s="60"/>
      <c r="D670" s="58" t="s">
        <v>575</v>
      </c>
      <c r="E670" s="53">
        <v>48</v>
      </c>
      <c r="F670" s="9">
        <v>7.04</v>
      </c>
      <c r="G670" s="10">
        <v>8.17</v>
      </c>
      <c r="H670" s="54">
        <f t="shared" si="32"/>
        <v>392.15999999999997</v>
      </c>
      <c r="I670" s="55">
        <v>0</v>
      </c>
      <c r="J670" s="80">
        <f t="shared" si="36"/>
        <v>392.15999999999997</v>
      </c>
      <c r="K670" s="57">
        <f t="shared" si="35"/>
        <v>337.92</v>
      </c>
    </row>
    <row r="671" spans="1:11" ht="15" x14ac:dyDescent="0.2">
      <c r="A671" s="50" t="s">
        <v>542</v>
      </c>
      <c r="B671" s="51" t="s">
        <v>313</v>
      </c>
      <c r="C671" s="60"/>
      <c r="D671" s="58" t="s">
        <v>577</v>
      </c>
      <c r="E671" s="53">
        <v>24</v>
      </c>
      <c r="F671" s="9">
        <v>7.04</v>
      </c>
      <c r="G671" s="10">
        <v>8.17</v>
      </c>
      <c r="H671" s="54">
        <f t="shared" si="32"/>
        <v>196.07999999999998</v>
      </c>
      <c r="I671" s="55">
        <v>0</v>
      </c>
      <c r="J671" s="80">
        <f t="shared" si="36"/>
        <v>196.07999999999998</v>
      </c>
      <c r="K671" s="57">
        <f t="shared" si="35"/>
        <v>168.96</v>
      </c>
    </row>
    <row r="672" spans="1:11" ht="15" x14ac:dyDescent="0.2">
      <c r="A672" s="50" t="s">
        <v>542</v>
      </c>
      <c r="B672" s="51" t="s">
        <v>314</v>
      </c>
      <c r="C672" s="60"/>
      <c r="D672" s="58" t="s">
        <v>584</v>
      </c>
      <c r="E672" s="53">
        <v>24</v>
      </c>
      <c r="F672" s="9">
        <v>6.88</v>
      </c>
      <c r="G672" s="10">
        <v>8.17</v>
      </c>
      <c r="H672" s="54">
        <f t="shared" si="32"/>
        <v>196.07999999999998</v>
      </c>
      <c r="I672" s="55">
        <v>0</v>
      </c>
      <c r="J672" s="80">
        <f t="shared" si="36"/>
        <v>196.07999999999998</v>
      </c>
      <c r="K672" s="57">
        <f t="shared" si="35"/>
        <v>165.12</v>
      </c>
    </row>
    <row r="673" spans="1:13" ht="15" x14ac:dyDescent="0.2">
      <c r="A673" s="50" t="s">
        <v>542</v>
      </c>
      <c r="B673" s="51" t="s">
        <v>317</v>
      </c>
      <c r="C673" s="60"/>
      <c r="D673" s="58" t="s">
        <v>580</v>
      </c>
      <c r="E673" s="53">
        <v>3</v>
      </c>
      <c r="F673" s="9">
        <v>59.17</v>
      </c>
      <c r="G673" s="10">
        <v>61</v>
      </c>
      <c r="H673" s="54">
        <f t="shared" si="32"/>
        <v>183</v>
      </c>
      <c r="I673" s="55">
        <v>0.24</v>
      </c>
      <c r="J673" s="80">
        <f t="shared" si="36"/>
        <v>182.76</v>
      </c>
      <c r="K673" s="57">
        <f t="shared" si="35"/>
        <v>177.51</v>
      </c>
    </row>
    <row r="674" spans="1:13" ht="15" x14ac:dyDescent="0.2">
      <c r="A674" s="50" t="s">
        <v>542</v>
      </c>
      <c r="B674" s="51" t="s">
        <v>313</v>
      </c>
      <c r="C674" s="60" t="s">
        <v>566</v>
      </c>
      <c r="D674" s="58" t="s">
        <v>577</v>
      </c>
      <c r="E674" s="53">
        <v>24</v>
      </c>
      <c r="F674" s="9">
        <v>7.04</v>
      </c>
      <c r="G674" s="10">
        <v>8.17</v>
      </c>
      <c r="H674" s="54">
        <f t="shared" si="32"/>
        <v>196.07999999999998</v>
      </c>
      <c r="I674" s="55">
        <v>0</v>
      </c>
      <c r="J674" s="80">
        <f t="shared" si="36"/>
        <v>196.07999999999998</v>
      </c>
      <c r="K674" s="57">
        <f t="shared" si="35"/>
        <v>168.96</v>
      </c>
    </row>
    <row r="675" spans="1:13" ht="15" x14ac:dyDescent="0.2">
      <c r="A675" s="50" t="s">
        <v>542</v>
      </c>
      <c r="B675" s="51" t="s">
        <v>335</v>
      </c>
      <c r="C675" s="60"/>
      <c r="D675" s="58" t="s">
        <v>575</v>
      </c>
      <c r="E675" s="53">
        <v>24</v>
      </c>
      <c r="F675" s="9">
        <v>7.04</v>
      </c>
      <c r="G675" s="10">
        <v>8.17</v>
      </c>
      <c r="H675" s="54">
        <f t="shared" si="32"/>
        <v>196.07999999999998</v>
      </c>
      <c r="I675" s="55">
        <v>0</v>
      </c>
      <c r="J675" s="80">
        <f t="shared" si="36"/>
        <v>196.07999999999998</v>
      </c>
      <c r="K675" s="57">
        <f t="shared" si="35"/>
        <v>168.96</v>
      </c>
    </row>
    <row r="676" spans="1:13" ht="15" x14ac:dyDescent="0.2">
      <c r="A676" s="50" t="s">
        <v>542</v>
      </c>
      <c r="B676" s="51" t="s">
        <v>329</v>
      </c>
      <c r="C676" s="60"/>
      <c r="D676" s="58" t="s">
        <v>578</v>
      </c>
      <c r="E676" s="53">
        <v>12</v>
      </c>
      <c r="F676" s="9">
        <v>21.33</v>
      </c>
      <c r="G676" s="10">
        <v>23.58</v>
      </c>
      <c r="H676" s="54">
        <f t="shared" si="32"/>
        <v>282.95999999999998</v>
      </c>
      <c r="I676" s="55">
        <v>0.12</v>
      </c>
      <c r="J676" s="80">
        <f t="shared" si="36"/>
        <v>282.83999999999997</v>
      </c>
      <c r="K676" s="57">
        <f t="shared" si="35"/>
        <v>255.95999999999998</v>
      </c>
    </row>
    <row r="677" spans="1:13" ht="15" x14ac:dyDescent="0.2">
      <c r="A677" s="50" t="s">
        <v>542</v>
      </c>
      <c r="B677" s="51" t="s">
        <v>329</v>
      </c>
      <c r="C677" s="60" t="s">
        <v>567</v>
      </c>
      <c r="D677" s="58" t="s">
        <v>578</v>
      </c>
      <c r="E677" s="53">
        <v>6</v>
      </c>
      <c r="F677" s="9">
        <v>21.33</v>
      </c>
      <c r="G677" s="10">
        <v>23.58</v>
      </c>
      <c r="H677" s="54">
        <f t="shared" si="32"/>
        <v>141.47999999999999</v>
      </c>
      <c r="I677" s="55">
        <v>0</v>
      </c>
      <c r="J677" s="56">
        <f t="shared" si="36"/>
        <v>141.47999999999999</v>
      </c>
      <c r="K677" s="57">
        <f t="shared" si="35"/>
        <v>127.97999999999999</v>
      </c>
    </row>
    <row r="678" spans="1:13" ht="15" x14ac:dyDescent="0.2">
      <c r="A678" s="50" t="s">
        <v>542</v>
      </c>
      <c r="B678" s="51" t="s">
        <v>325</v>
      </c>
      <c r="C678" s="60"/>
      <c r="D678" s="58" t="s">
        <v>579</v>
      </c>
      <c r="E678" s="53">
        <v>6</v>
      </c>
      <c r="F678" s="9">
        <v>21.33</v>
      </c>
      <c r="G678" s="10">
        <v>23.58</v>
      </c>
      <c r="H678" s="54">
        <f t="shared" si="32"/>
        <v>141.47999999999999</v>
      </c>
      <c r="I678" s="55">
        <v>0</v>
      </c>
      <c r="J678" s="56">
        <f t="shared" si="36"/>
        <v>141.47999999999999</v>
      </c>
      <c r="K678" s="57">
        <f t="shared" si="35"/>
        <v>127.97999999999999</v>
      </c>
    </row>
    <row r="679" spans="1:13" ht="15" x14ac:dyDescent="0.2">
      <c r="A679" s="50" t="s">
        <v>542</v>
      </c>
      <c r="B679" s="51" t="s">
        <v>335</v>
      </c>
      <c r="C679" s="60"/>
      <c r="D679" s="58" t="s">
        <v>575</v>
      </c>
      <c r="E679" s="53">
        <v>24</v>
      </c>
      <c r="F679" s="9">
        <v>7.04</v>
      </c>
      <c r="G679" s="10">
        <v>8.17</v>
      </c>
      <c r="H679" s="54">
        <f t="shared" si="32"/>
        <v>196.07999999999998</v>
      </c>
      <c r="I679" s="55">
        <v>0.04</v>
      </c>
      <c r="J679" s="56">
        <f t="shared" si="36"/>
        <v>196.04</v>
      </c>
      <c r="K679" s="57">
        <f t="shared" si="35"/>
        <v>168.96</v>
      </c>
    </row>
    <row r="680" spans="1:13" ht="15" x14ac:dyDescent="0.2">
      <c r="A680" s="50" t="s">
        <v>542</v>
      </c>
      <c r="B680" s="51" t="s">
        <v>316</v>
      </c>
      <c r="C680" s="60" t="s">
        <v>568</v>
      </c>
      <c r="D680" s="58" t="s">
        <v>572</v>
      </c>
      <c r="E680" s="53">
        <v>36</v>
      </c>
      <c r="F680" s="9">
        <v>15.92</v>
      </c>
      <c r="G680" s="10">
        <v>16.329999999999998</v>
      </c>
      <c r="H680" s="54">
        <f t="shared" si="32"/>
        <v>587.87999999999988</v>
      </c>
      <c r="I680" s="55">
        <v>0</v>
      </c>
      <c r="J680" s="80">
        <f t="shared" si="36"/>
        <v>587.87999999999988</v>
      </c>
      <c r="K680" s="57">
        <f t="shared" si="35"/>
        <v>573.12</v>
      </c>
    </row>
    <row r="681" spans="1:13" ht="15" x14ac:dyDescent="0.2">
      <c r="A681" s="50" t="s">
        <v>542</v>
      </c>
      <c r="B681" s="51" t="s">
        <v>322</v>
      </c>
      <c r="C681" s="60"/>
      <c r="D681" s="58" t="s">
        <v>573</v>
      </c>
      <c r="E681" s="53">
        <v>36</v>
      </c>
      <c r="F681" s="9">
        <v>15.92</v>
      </c>
      <c r="G681" s="10">
        <v>16.329999999999998</v>
      </c>
      <c r="H681" s="54">
        <f t="shared" si="32"/>
        <v>587.87999999999988</v>
      </c>
      <c r="I681" s="55">
        <v>0</v>
      </c>
      <c r="J681" s="80">
        <f t="shared" si="36"/>
        <v>587.87999999999988</v>
      </c>
      <c r="K681" s="57">
        <f t="shared" si="35"/>
        <v>573.12</v>
      </c>
    </row>
    <row r="682" spans="1:13" ht="15" x14ac:dyDescent="0.2">
      <c r="A682" s="50" t="s">
        <v>542</v>
      </c>
      <c r="B682" s="51" t="s">
        <v>323</v>
      </c>
      <c r="C682" s="60"/>
      <c r="D682" s="58" t="s">
        <v>574</v>
      </c>
      <c r="E682" s="53">
        <v>36</v>
      </c>
      <c r="F682" s="9">
        <v>15.92</v>
      </c>
      <c r="G682" s="10">
        <v>16.329999999999998</v>
      </c>
      <c r="H682" s="54">
        <f t="shared" si="32"/>
        <v>587.87999999999988</v>
      </c>
      <c r="I682" s="55">
        <v>0</v>
      </c>
      <c r="J682" s="80">
        <f t="shared" si="36"/>
        <v>587.87999999999988</v>
      </c>
      <c r="K682" s="57">
        <f t="shared" si="35"/>
        <v>573.12</v>
      </c>
    </row>
    <row r="683" spans="1:13" ht="15" x14ac:dyDescent="0.2">
      <c r="A683" s="50" t="s">
        <v>542</v>
      </c>
      <c r="B683" s="51" t="s">
        <v>317</v>
      </c>
      <c r="C683" s="60" t="s">
        <v>569</v>
      </c>
      <c r="D683" s="58" t="s">
        <v>580</v>
      </c>
      <c r="E683" s="53">
        <v>2</v>
      </c>
      <c r="F683" s="9">
        <v>59.17</v>
      </c>
      <c r="G683" s="10">
        <v>61</v>
      </c>
      <c r="H683" s="54">
        <f t="shared" si="32"/>
        <v>122</v>
      </c>
      <c r="I683" s="55">
        <v>0</v>
      </c>
      <c r="J683" s="80">
        <f t="shared" si="36"/>
        <v>122</v>
      </c>
      <c r="K683" s="57">
        <f t="shared" si="35"/>
        <v>118.34</v>
      </c>
    </row>
    <row r="684" spans="1:13" ht="15" x14ac:dyDescent="0.2">
      <c r="A684" s="50" t="s">
        <v>542</v>
      </c>
      <c r="B684" s="51" t="s">
        <v>337</v>
      </c>
      <c r="C684" s="60" t="s">
        <v>570</v>
      </c>
      <c r="D684" s="58" t="s">
        <v>479</v>
      </c>
      <c r="E684" s="53">
        <v>30</v>
      </c>
      <c r="F684" s="9">
        <v>8.4</v>
      </c>
      <c r="G684" s="10">
        <v>8.8000000000000007</v>
      </c>
      <c r="H684" s="54">
        <f t="shared" si="32"/>
        <v>264</v>
      </c>
      <c r="I684" s="55">
        <v>0</v>
      </c>
      <c r="J684" s="80">
        <f t="shared" si="36"/>
        <v>264</v>
      </c>
      <c r="K684" s="57">
        <f t="shared" si="35"/>
        <v>252</v>
      </c>
    </row>
    <row r="685" spans="1:13" ht="15" x14ac:dyDescent="0.2">
      <c r="A685" s="50" t="s">
        <v>542</v>
      </c>
      <c r="B685" s="51" t="s">
        <v>327</v>
      </c>
      <c r="C685" s="60"/>
      <c r="D685" s="58" t="s">
        <v>469</v>
      </c>
      <c r="E685" s="53">
        <v>40</v>
      </c>
      <c r="F685" s="9">
        <v>8.4</v>
      </c>
      <c r="G685" s="10">
        <v>8.8000000000000007</v>
      </c>
      <c r="H685" s="54">
        <f t="shared" si="32"/>
        <v>352</v>
      </c>
      <c r="I685" s="55">
        <v>0</v>
      </c>
      <c r="J685" s="80">
        <f t="shared" si="36"/>
        <v>352</v>
      </c>
      <c r="K685" s="57">
        <f t="shared" si="35"/>
        <v>336</v>
      </c>
    </row>
    <row r="686" spans="1:13" ht="15" x14ac:dyDescent="0.2">
      <c r="A686" s="50" t="s">
        <v>542</v>
      </c>
      <c r="B686" s="51" t="s">
        <v>320</v>
      </c>
      <c r="C686" s="60"/>
      <c r="D686" s="58" t="s">
        <v>585</v>
      </c>
      <c r="E686" s="53">
        <v>24</v>
      </c>
      <c r="F686" s="9">
        <v>11.58</v>
      </c>
      <c r="G686" s="10">
        <v>12</v>
      </c>
      <c r="H686" s="54">
        <f t="shared" si="32"/>
        <v>288</v>
      </c>
      <c r="I686" s="55">
        <v>0</v>
      </c>
      <c r="J686" s="80">
        <f t="shared" si="36"/>
        <v>288</v>
      </c>
      <c r="K686" s="57">
        <f t="shared" si="35"/>
        <v>277.92</v>
      </c>
    </row>
    <row r="687" spans="1:13" ht="15" x14ac:dyDescent="0.2">
      <c r="A687" s="50" t="s">
        <v>542</v>
      </c>
      <c r="B687" s="51" t="s">
        <v>335</v>
      </c>
      <c r="C687" s="60" t="s">
        <v>571</v>
      </c>
      <c r="D687" s="58" t="s">
        <v>575</v>
      </c>
      <c r="E687" s="53">
        <v>24</v>
      </c>
      <c r="F687" s="9">
        <v>7.04</v>
      </c>
      <c r="G687" s="10">
        <v>8.17</v>
      </c>
      <c r="H687" s="54">
        <f t="shared" si="32"/>
        <v>196.07999999999998</v>
      </c>
      <c r="I687" s="55">
        <v>0</v>
      </c>
      <c r="J687" s="80">
        <f t="shared" si="36"/>
        <v>196.07999999999998</v>
      </c>
      <c r="K687" s="57">
        <f t="shared" si="35"/>
        <v>168.96</v>
      </c>
      <c r="L687" s="2">
        <v>20414.88</v>
      </c>
      <c r="M687" s="2">
        <v>20414.88</v>
      </c>
    </row>
    <row r="688" spans="1:13" ht="15" x14ac:dyDescent="0.2">
      <c r="A688" s="50" t="s">
        <v>586</v>
      </c>
      <c r="B688" s="51" t="s">
        <v>316</v>
      </c>
      <c r="C688" s="60" t="s">
        <v>618</v>
      </c>
      <c r="D688" s="58" t="s">
        <v>572</v>
      </c>
      <c r="E688" s="53">
        <v>12</v>
      </c>
      <c r="F688" s="9">
        <v>15.92</v>
      </c>
      <c r="G688" s="10">
        <v>16.329999999999998</v>
      </c>
      <c r="H688" s="54">
        <f t="shared" si="32"/>
        <v>195.95999999999998</v>
      </c>
      <c r="I688" s="55">
        <v>0</v>
      </c>
      <c r="J688" s="56">
        <f t="shared" si="36"/>
        <v>195.95999999999998</v>
      </c>
      <c r="K688" s="57">
        <f t="shared" si="35"/>
        <v>191.04</v>
      </c>
    </row>
    <row r="689" spans="1:11" ht="15" x14ac:dyDescent="0.2">
      <c r="A689" s="50" t="s">
        <v>586</v>
      </c>
      <c r="B689" s="51" t="s">
        <v>319</v>
      </c>
      <c r="C689" s="60" t="s">
        <v>619</v>
      </c>
      <c r="D689" s="58" t="s">
        <v>576</v>
      </c>
      <c r="E689" s="53">
        <v>12</v>
      </c>
      <c r="F689" s="9">
        <v>11.58</v>
      </c>
      <c r="G689" s="10">
        <v>12</v>
      </c>
      <c r="H689" s="54">
        <f t="shared" si="32"/>
        <v>144</v>
      </c>
      <c r="I689" s="55">
        <v>0</v>
      </c>
      <c r="J689" s="56">
        <f t="shared" si="36"/>
        <v>144</v>
      </c>
      <c r="K689" s="57">
        <f t="shared" si="35"/>
        <v>138.96</v>
      </c>
    </row>
    <row r="690" spans="1:11" ht="15" x14ac:dyDescent="0.2">
      <c r="A690" s="50" t="s">
        <v>586</v>
      </c>
      <c r="B690" s="51" t="s">
        <v>317</v>
      </c>
      <c r="C690" s="60" t="s">
        <v>620</v>
      </c>
      <c r="D690" s="58" t="s">
        <v>580</v>
      </c>
      <c r="E690" s="53">
        <v>1</v>
      </c>
      <c r="F690" s="9">
        <v>59.17</v>
      </c>
      <c r="G690" s="10">
        <v>61</v>
      </c>
      <c r="H690" s="54">
        <f t="shared" si="32"/>
        <v>61</v>
      </c>
      <c r="I690" s="55">
        <v>0</v>
      </c>
      <c r="J690" s="56">
        <f t="shared" si="36"/>
        <v>61</v>
      </c>
      <c r="K690" s="57">
        <f t="shared" ref="K690:K707" si="37">E690*F690</f>
        <v>59.17</v>
      </c>
    </row>
    <row r="691" spans="1:11" ht="15" x14ac:dyDescent="0.2">
      <c r="A691" s="50" t="s">
        <v>586</v>
      </c>
      <c r="B691" s="51" t="s">
        <v>316</v>
      </c>
      <c r="C691" s="60" t="s">
        <v>621</v>
      </c>
      <c r="D691" s="58" t="s">
        <v>572</v>
      </c>
      <c r="E691" s="53">
        <v>180</v>
      </c>
      <c r="F691" s="9">
        <v>15.92</v>
      </c>
      <c r="G691" s="10">
        <v>16.329999999999998</v>
      </c>
      <c r="H691" s="54">
        <f t="shared" si="32"/>
        <v>2939.3999999999996</v>
      </c>
      <c r="I691" s="55">
        <v>0</v>
      </c>
      <c r="J691" s="56">
        <f t="shared" si="36"/>
        <v>2939.3999999999996</v>
      </c>
      <c r="K691" s="57">
        <f t="shared" si="37"/>
        <v>2865.6</v>
      </c>
    </row>
    <row r="692" spans="1:11" ht="15" x14ac:dyDescent="0.2">
      <c r="A692" s="50" t="s">
        <v>586</v>
      </c>
      <c r="B692" s="51" t="s">
        <v>323</v>
      </c>
      <c r="C692" s="60"/>
      <c r="D692" s="58" t="s">
        <v>574</v>
      </c>
      <c r="E692" s="53">
        <v>60</v>
      </c>
      <c r="F692" s="9">
        <v>15.92</v>
      </c>
      <c r="G692" s="10">
        <v>16.329999999999998</v>
      </c>
      <c r="H692" s="54">
        <f t="shared" si="32"/>
        <v>979.8</v>
      </c>
      <c r="I692" s="55">
        <v>0</v>
      </c>
      <c r="J692" s="56">
        <f t="shared" si="36"/>
        <v>979.8</v>
      </c>
      <c r="K692" s="57">
        <f t="shared" si="37"/>
        <v>955.2</v>
      </c>
    </row>
    <row r="693" spans="1:11" ht="15" x14ac:dyDescent="0.2">
      <c r="A693" s="50" t="s">
        <v>586</v>
      </c>
      <c r="B693" s="51" t="s">
        <v>319</v>
      </c>
      <c r="C693" s="60"/>
      <c r="D693" s="58" t="s">
        <v>576</v>
      </c>
      <c r="E693" s="53">
        <v>60</v>
      </c>
      <c r="F693" s="9">
        <v>11.58</v>
      </c>
      <c r="G693" s="10">
        <v>12</v>
      </c>
      <c r="H693" s="54">
        <f t="shared" si="32"/>
        <v>720</v>
      </c>
      <c r="I693" s="55">
        <v>0</v>
      </c>
      <c r="J693" s="56">
        <f t="shared" si="36"/>
        <v>720</v>
      </c>
      <c r="K693" s="57">
        <f t="shared" si="37"/>
        <v>694.8</v>
      </c>
    </row>
    <row r="694" spans="1:11" ht="15" x14ac:dyDescent="0.2">
      <c r="A694" s="50" t="s">
        <v>586</v>
      </c>
      <c r="B694" s="51" t="s">
        <v>317</v>
      </c>
      <c r="C694" s="60"/>
      <c r="D694" s="58" t="s">
        <v>580</v>
      </c>
      <c r="E694" s="53">
        <v>12</v>
      </c>
      <c r="F694" s="9">
        <v>59.17</v>
      </c>
      <c r="G694" s="10">
        <v>61</v>
      </c>
      <c r="H694" s="54">
        <f t="shared" si="32"/>
        <v>732</v>
      </c>
      <c r="I694" s="55">
        <v>0</v>
      </c>
      <c r="J694" s="56">
        <f t="shared" si="36"/>
        <v>732</v>
      </c>
      <c r="K694" s="57">
        <f t="shared" si="37"/>
        <v>710.04</v>
      </c>
    </row>
    <row r="695" spans="1:11" ht="15" x14ac:dyDescent="0.2">
      <c r="A695" s="50" t="s">
        <v>586</v>
      </c>
      <c r="B695" s="51" t="s">
        <v>318</v>
      </c>
      <c r="C695" s="60"/>
      <c r="D695" s="58" t="s">
        <v>581</v>
      </c>
      <c r="E695" s="53">
        <v>12</v>
      </c>
      <c r="F695" s="9">
        <v>59.17</v>
      </c>
      <c r="G695" s="10">
        <v>61</v>
      </c>
      <c r="H695" s="54">
        <f t="shared" si="32"/>
        <v>732</v>
      </c>
      <c r="I695" s="55">
        <v>0</v>
      </c>
      <c r="J695" s="56">
        <f t="shared" si="36"/>
        <v>732</v>
      </c>
      <c r="K695" s="57">
        <f t="shared" si="37"/>
        <v>710.04</v>
      </c>
    </row>
    <row r="696" spans="1:11" ht="15" x14ac:dyDescent="0.2">
      <c r="A696" s="50" t="s">
        <v>586</v>
      </c>
      <c r="B696" s="51" t="s">
        <v>320</v>
      </c>
      <c r="C696" s="60" t="s">
        <v>622</v>
      </c>
      <c r="D696" s="58" t="s">
        <v>585</v>
      </c>
      <c r="E696" s="53">
        <v>60</v>
      </c>
      <c r="F696" s="9">
        <v>11.58</v>
      </c>
      <c r="G696" s="10">
        <v>12</v>
      </c>
      <c r="H696" s="54">
        <f t="shared" si="32"/>
        <v>720</v>
      </c>
      <c r="I696" s="55">
        <v>0</v>
      </c>
      <c r="J696" s="56">
        <f t="shared" si="36"/>
        <v>720</v>
      </c>
      <c r="K696" s="57">
        <f t="shared" si="37"/>
        <v>694.8</v>
      </c>
    </row>
    <row r="697" spans="1:11" ht="15" x14ac:dyDescent="0.2">
      <c r="A697" s="50" t="s">
        <v>586</v>
      </c>
      <c r="B697" s="51" t="s">
        <v>316</v>
      </c>
      <c r="C697" s="60"/>
      <c r="D697" s="58" t="s">
        <v>572</v>
      </c>
      <c r="E697" s="53">
        <v>72</v>
      </c>
      <c r="F697" s="9">
        <v>15.92</v>
      </c>
      <c r="G697" s="10">
        <v>16.329999999999998</v>
      </c>
      <c r="H697" s="54">
        <f t="shared" si="32"/>
        <v>1175.7599999999998</v>
      </c>
      <c r="I697" s="55">
        <v>0</v>
      </c>
      <c r="J697" s="56">
        <f t="shared" si="36"/>
        <v>1175.7599999999998</v>
      </c>
      <c r="K697" s="57">
        <f t="shared" si="37"/>
        <v>1146.24</v>
      </c>
    </row>
    <row r="698" spans="1:11" ht="15" x14ac:dyDescent="0.2">
      <c r="A698" s="50" t="s">
        <v>586</v>
      </c>
      <c r="B698" s="51" t="s">
        <v>317</v>
      </c>
      <c r="C698" s="60"/>
      <c r="D698" s="58" t="s">
        <v>580</v>
      </c>
      <c r="E698" s="53">
        <v>24</v>
      </c>
      <c r="F698" s="9">
        <v>59.17</v>
      </c>
      <c r="G698" s="10">
        <v>61</v>
      </c>
      <c r="H698" s="54">
        <f t="shared" si="32"/>
        <v>1464</v>
      </c>
      <c r="I698" s="55">
        <v>0</v>
      </c>
      <c r="J698" s="56">
        <f t="shared" si="36"/>
        <v>1464</v>
      </c>
      <c r="K698" s="57">
        <f t="shared" si="37"/>
        <v>1420.08</v>
      </c>
    </row>
    <row r="699" spans="1:11" ht="15" x14ac:dyDescent="0.2">
      <c r="A699" s="50" t="s">
        <v>586</v>
      </c>
      <c r="B699" s="51" t="s">
        <v>318</v>
      </c>
      <c r="C699" s="60"/>
      <c r="D699" s="58" t="s">
        <v>581</v>
      </c>
      <c r="E699" s="53">
        <v>12</v>
      </c>
      <c r="F699" s="9">
        <v>59.17</v>
      </c>
      <c r="G699" s="10">
        <v>61</v>
      </c>
      <c r="H699" s="54">
        <f t="shared" si="32"/>
        <v>732</v>
      </c>
      <c r="I699" s="55">
        <v>0</v>
      </c>
      <c r="J699" s="56">
        <f t="shared" si="36"/>
        <v>732</v>
      </c>
      <c r="K699" s="57">
        <f t="shared" si="37"/>
        <v>710.04</v>
      </c>
    </row>
    <row r="700" spans="1:11" ht="15" x14ac:dyDescent="0.2">
      <c r="A700" s="50" t="s">
        <v>586</v>
      </c>
      <c r="B700" s="51" t="s">
        <v>335</v>
      </c>
      <c r="C700" s="60" t="s">
        <v>623</v>
      </c>
      <c r="D700" s="58" t="s">
        <v>575</v>
      </c>
      <c r="E700" s="53">
        <v>120</v>
      </c>
      <c r="F700" s="9">
        <v>7.04</v>
      </c>
      <c r="G700" s="10">
        <v>8.17</v>
      </c>
      <c r="H700" s="54">
        <f t="shared" si="32"/>
        <v>980.4</v>
      </c>
      <c r="I700" s="55">
        <v>0</v>
      </c>
      <c r="J700" s="56">
        <f t="shared" si="36"/>
        <v>980.4</v>
      </c>
      <c r="K700" s="57">
        <f t="shared" si="37"/>
        <v>844.8</v>
      </c>
    </row>
    <row r="701" spans="1:11" ht="15" x14ac:dyDescent="0.2">
      <c r="A701" s="50" t="s">
        <v>586</v>
      </c>
      <c r="B701" s="51" t="s">
        <v>326</v>
      </c>
      <c r="C701" s="60"/>
      <c r="D701" s="58" t="s">
        <v>626</v>
      </c>
      <c r="E701" s="53">
        <v>240</v>
      </c>
      <c r="F701" s="9">
        <v>7.04</v>
      </c>
      <c r="G701" s="10">
        <v>8.17</v>
      </c>
      <c r="H701" s="54">
        <f t="shared" si="32"/>
        <v>1960.8</v>
      </c>
      <c r="I701" s="55">
        <v>0</v>
      </c>
      <c r="J701" s="56">
        <f t="shared" si="36"/>
        <v>1960.8</v>
      </c>
      <c r="K701" s="57">
        <f t="shared" si="37"/>
        <v>1689.6</v>
      </c>
    </row>
    <row r="702" spans="1:11" ht="15" x14ac:dyDescent="0.2">
      <c r="A702" s="50" t="s">
        <v>586</v>
      </c>
      <c r="B702" s="51" t="s">
        <v>317</v>
      </c>
      <c r="C702" s="60"/>
      <c r="D702" s="58" t="s">
        <v>580</v>
      </c>
      <c r="E702" s="53">
        <v>12</v>
      </c>
      <c r="F702" s="9">
        <v>59.17</v>
      </c>
      <c r="G702" s="10">
        <v>61</v>
      </c>
      <c r="H702" s="54">
        <f t="shared" si="32"/>
        <v>732</v>
      </c>
      <c r="I702" s="55">
        <v>1.2</v>
      </c>
      <c r="J702" s="56">
        <f t="shared" si="36"/>
        <v>730.8</v>
      </c>
      <c r="K702" s="57">
        <f t="shared" si="37"/>
        <v>710.04</v>
      </c>
    </row>
    <row r="703" spans="1:11" ht="15" x14ac:dyDescent="0.2">
      <c r="A703" s="50" t="s">
        <v>586</v>
      </c>
      <c r="B703" s="51" t="s">
        <v>319</v>
      </c>
      <c r="C703" s="60" t="s">
        <v>624</v>
      </c>
      <c r="D703" s="58" t="s">
        <v>576</v>
      </c>
      <c r="E703" s="53">
        <v>144</v>
      </c>
      <c r="F703" s="9">
        <v>11.58</v>
      </c>
      <c r="G703" s="10">
        <v>12</v>
      </c>
      <c r="H703" s="54">
        <f t="shared" si="32"/>
        <v>1728</v>
      </c>
      <c r="I703" s="55">
        <v>0</v>
      </c>
      <c r="J703" s="56">
        <f t="shared" si="36"/>
        <v>1728</v>
      </c>
      <c r="K703" s="57">
        <f t="shared" si="37"/>
        <v>1667.52</v>
      </c>
    </row>
    <row r="704" spans="1:11" ht="15" x14ac:dyDescent="0.2">
      <c r="A704" s="50" t="s">
        <v>586</v>
      </c>
      <c r="B704" s="51" t="s">
        <v>317</v>
      </c>
      <c r="C704" s="60"/>
      <c r="D704" s="58" t="s">
        <v>580</v>
      </c>
      <c r="E704" s="53">
        <v>12</v>
      </c>
      <c r="F704" s="9">
        <v>59.17</v>
      </c>
      <c r="G704" s="10">
        <v>61</v>
      </c>
      <c r="H704" s="54">
        <f t="shared" si="32"/>
        <v>732</v>
      </c>
      <c r="I704" s="55">
        <v>0</v>
      </c>
      <c r="J704" s="56">
        <f t="shared" si="36"/>
        <v>732</v>
      </c>
      <c r="K704" s="57">
        <f t="shared" si="37"/>
        <v>710.04</v>
      </c>
    </row>
    <row r="705" spans="1:14" ht="15" x14ac:dyDescent="0.2">
      <c r="A705" s="50" t="s">
        <v>586</v>
      </c>
      <c r="B705" s="51" t="s">
        <v>318</v>
      </c>
      <c r="C705" s="60"/>
      <c r="D705" s="58" t="s">
        <v>581</v>
      </c>
      <c r="E705" s="53">
        <v>12</v>
      </c>
      <c r="F705" s="9">
        <v>59.17</v>
      </c>
      <c r="G705" s="10">
        <v>61</v>
      </c>
      <c r="H705" s="54">
        <f t="shared" si="32"/>
        <v>732</v>
      </c>
      <c r="I705" s="55">
        <v>24</v>
      </c>
      <c r="J705" s="56">
        <f t="shared" si="36"/>
        <v>708</v>
      </c>
      <c r="K705" s="57">
        <f t="shared" si="37"/>
        <v>710.04</v>
      </c>
    </row>
    <row r="706" spans="1:14" ht="15" x14ac:dyDescent="0.2">
      <c r="A706" s="50" t="s">
        <v>586</v>
      </c>
      <c r="B706" s="51" t="s">
        <v>335</v>
      </c>
      <c r="C706" s="60" t="s">
        <v>625</v>
      </c>
      <c r="D706" s="58" t="s">
        <v>575</v>
      </c>
      <c r="E706" s="53">
        <v>864</v>
      </c>
      <c r="F706" s="9">
        <v>7.04</v>
      </c>
      <c r="G706" s="10">
        <v>8.17</v>
      </c>
      <c r="H706" s="54">
        <f t="shared" si="32"/>
        <v>7058.88</v>
      </c>
      <c r="I706" s="55">
        <v>39.94</v>
      </c>
      <c r="J706" s="56">
        <f t="shared" si="36"/>
        <v>7018.9400000000005</v>
      </c>
      <c r="K706" s="57">
        <f t="shared" si="37"/>
        <v>6082.56</v>
      </c>
    </row>
    <row r="707" spans="1:14" ht="15" x14ac:dyDescent="0.2">
      <c r="A707" s="50" t="s">
        <v>586</v>
      </c>
      <c r="B707" s="51" t="s">
        <v>313</v>
      </c>
      <c r="C707" s="60"/>
      <c r="D707" s="58" t="s">
        <v>577</v>
      </c>
      <c r="E707" s="53">
        <v>288</v>
      </c>
      <c r="F707" s="9">
        <v>7.04</v>
      </c>
      <c r="G707" s="10">
        <v>8.17</v>
      </c>
      <c r="H707" s="54">
        <f t="shared" si="32"/>
        <v>2352.96</v>
      </c>
      <c r="I707" s="55">
        <v>0</v>
      </c>
      <c r="J707" s="56">
        <f t="shared" si="36"/>
        <v>2352.96</v>
      </c>
      <c r="K707" s="57">
        <f t="shared" si="37"/>
        <v>2027.52</v>
      </c>
    </row>
    <row r="708" spans="1:14" ht="15" x14ac:dyDescent="0.2">
      <c r="A708" s="50" t="s">
        <v>586</v>
      </c>
      <c r="B708" s="51" t="s">
        <v>314</v>
      </c>
      <c r="C708" s="60"/>
      <c r="D708" s="58" t="s">
        <v>584</v>
      </c>
      <c r="E708" s="53">
        <v>60</v>
      </c>
      <c r="F708" s="9">
        <v>6.88</v>
      </c>
      <c r="G708" s="10">
        <v>8.17</v>
      </c>
      <c r="H708" s="54">
        <f t="shared" si="32"/>
        <v>490.2</v>
      </c>
      <c r="I708" s="55">
        <v>0</v>
      </c>
      <c r="J708" s="56">
        <f t="shared" si="36"/>
        <v>490.2</v>
      </c>
      <c r="K708" s="57">
        <f t="shared" si="35"/>
        <v>412.8</v>
      </c>
    </row>
    <row r="709" spans="1:14" ht="15" x14ac:dyDescent="0.2">
      <c r="A709" s="50" t="s">
        <v>586</v>
      </c>
      <c r="B709" s="51" t="s">
        <v>326</v>
      </c>
      <c r="C709" s="60"/>
      <c r="D709" s="58" t="s">
        <v>626</v>
      </c>
      <c r="E709" s="53">
        <v>204</v>
      </c>
      <c r="F709" s="9">
        <v>7.04</v>
      </c>
      <c r="G709" s="10">
        <v>8.17</v>
      </c>
      <c r="H709" s="54">
        <f t="shared" si="32"/>
        <v>1666.68</v>
      </c>
      <c r="I709" s="55">
        <v>0</v>
      </c>
      <c r="J709" s="56">
        <f t="shared" si="36"/>
        <v>1666.68</v>
      </c>
      <c r="K709" s="57">
        <f t="shared" si="35"/>
        <v>1436.16</v>
      </c>
    </row>
    <row r="710" spans="1:14" ht="15" x14ac:dyDescent="0.2">
      <c r="A710" s="50" t="s">
        <v>586</v>
      </c>
      <c r="B710" s="51" t="s">
        <v>329</v>
      </c>
      <c r="C710" s="60"/>
      <c r="D710" s="58" t="s">
        <v>578</v>
      </c>
      <c r="E710" s="53">
        <v>48</v>
      </c>
      <c r="F710" s="9">
        <v>21.33</v>
      </c>
      <c r="G710" s="10">
        <v>23.58</v>
      </c>
      <c r="H710" s="54">
        <f t="shared" si="32"/>
        <v>1131.8399999999999</v>
      </c>
      <c r="I710" s="55">
        <v>0</v>
      </c>
      <c r="J710" s="56">
        <f t="shared" si="36"/>
        <v>1131.8399999999999</v>
      </c>
      <c r="K710" s="57">
        <f t="shared" si="35"/>
        <v>1023.8399999999999</v>
      </c>
    </row>
    <row r="711" spans="1:14" ht="15" x14ac:dyDescent="0.2">
      <c r="A711" s="50" t="s">
        <v>586</v>
      </c>
      <c r="B711" s="51" t="s">
        <v>325</v>
      </c>
      <c r="C711" s="60"/>
      <c r="D711" s="58" t="s">
        <v>579</v>
      </c>
      <c r="E711" s="53">
        <v>60</v>
      </c>
      <c r="F711" s="9">
        <v>21.33</v>
      </c>
      <c r="G711" s="10">
        <v>23.58</v>
      </c>
      <c r="H711" s="54">
        <f t="shared" si="32"/>
        <v>1414.8</v>
      </c>
      <c r="I711" s="55">
        <v>0</v>
      </c>
      <c r="J711" s="56">
        <f t="shared" si="36"/>
        <v>1414.8</v>
      </c>
      <c r="K711" s="57">
        <f t="shared" si="35"/>
        <v>1279.8</v>
      </c>
    </row>
    <row r="712" spans="1:14" ht="15" x14ac:dyDescent="0.2">
      <c r="A712" s="50" t="s">
        <v>586</v>
      </c>
      <c r="B712" s="51" t="s">
        <v>316</v>
      </c>
      <c r="C712" s="60"/>
      <c r="D712" s="58" t="s">
        <v>572</v>
      </c>
      <c r="E712" s="53">
        <v>360</v>
      </c>
      <c r="F712" s="9">
        <v>15.92</v>
      </c>
      <c r="G712" s="10">
        <v>16.329999999999998</v>
      </c>
      <c r="H712" s="54">
        <f t="shared" si="32"/>
        <v>5878.7999999999993</v>
      </c>
      <c r="I712" s="55">
        <v>0</v>
      </c>
      <c r="J712" s="56">
        <f t="shared" si="36"/>
        <v>5878.7999999999993</v>
      </c>
      <c r="K712" s="57">
        <f t="shared" si="35"/>
        <v>5731.2</v>
      </c>
    </row>
    <row r="713" spans="1:14" ht="15" x14ac:dyDescent="0.2">
      <c r="A713" s="50" t="s">
        <v>586</v>
      </c>
      <c r="B713" s="51" t="s">
        <v>322</v>
      </c>
      <c r="C713" s="60"/>
      <c r="D713" s="58" t="s">
        <v>573</v>
      </c>
      <c r="E713" s="53">
        <v>120</v>
      </c>
      <c r="F713" s="9">
        <v>15.92</v>
      </c>
      <c r="G713" s="10">
        <v>16.329999999999998</v>
      </c>
      <c r="H713" s="54">
        <f t="shared" si="32"/>
        <v>1959.6</v>
      </c>
      <c r="I713" s="55">
        <v>0</v>
      </c>
      <c r="J713" s="56">
        <f t="shared" si="36"/>
        <v>1959.6</v>
      </c>
      <c r="K713" s="57">
        <f t="shared" si="35"/>
        <v>1910.4</v>
      </c>
    </row>
    <row r="714" spans="1:14" ht="15" x14ac:dyDescent="0.2">
      <c r="A714" s="50" t="s">
        <v>586</v>
      </c>
      <c r="B714" s="51" t="s">
        <v>323</v>
      </c>
      <c r="C714" s="60"/>
      <c r="D714" s="58" t="s">
        <v>574</v>
      </c>
      <c r="E714" s="53">
        <v>120</v>
      </c>
      <c r="F714" s="9">
        <v>15.92</v>
      </c>
      <c r="G714" s="10">
        <v>16.329999999999998</v>
      </c>
      <c r="H714" s="54">
        <f t="shared" si="32"/>
        <v>1959.6</v>
      </c>
      <c r="I714" s="55">
        <v>0</v>
      </c>
      <c r="J714" s="56">
        <f t="shared" si="36"/>
        <v>1959.6</v>
      </c>
      <c r="K714" s="57">
        <f t="shared" si="35"/>
        <v>1910.4</v>
      </c>
    </row>
    <row r="715" spans="1:14" ht="15" x14ac:dyDescent="0.2">
      <c r="A715" s="50" t="s">
        <v>586</v>
      </c>
      <c r="B715" s="51" t="s">
        <v>320</v>
      </c>
      <c r="C715" s="60"/>
      <c r="D715" s="58" t="s">
        <v>585</v>
      </c>
      <c r="E715" s="53">
        <v>120</v>
      </c>
      <c r="F715" s="9">
        <v>11.58</v>
      </c>
      <c r="G715" s="10">
        <v>12</v>
      </c>
      <c r="H715" s="54">
        <f t="shared" si="32"/>
        <v>1440</v>
      </c>
      <c r="I715" s="55">
        <v>0</v>
      </c>
      <c r="J715" s="56">
        <f t="shared" si="36"/>
        <v>1440</v>
      </c>
      <c r="K715" s="57">
        <f t="shared" si="35"/>
        <v>1389.6</v>
      </c>
    </row>
    <row r="716" spans="1:14" ht="15" x14ac:dyDescent="0.2">
      <c r="A716" s="50" t="s">
        <v>586</v>
      </c>
      <c r="B716" s="51" t="s">
        <v>336</v>
      </c>
      <c r="C716" s="60"/>
      <c r="D716" s="58" t="s">
        <v>627</v>
      </c>
      <c r="E716" s="53">
        <v>120</v>
      </c>
      <c r="F716" s="9">
        <v>11.58</v>
      </c>
      <c r="G716" s="10">
        <v>12</v>
      </c>
      <c r="H716" s="54">
        <f t="shared" si="32"/>
        <v>1440</v>
      </c>
      <c r="I716" s="55">
        <v>0</v>
      </c>
      <c r="J716" s="56">
        <f t="shared" si="36"/>
        <v>1440</v>
      </c>
      <c r="K716" s="57">
        <f t="shared" si="35"/>
        <v>1389.6</v>
      </c>
    </row>
    <row r="717" spans="1:14" ht="15" x14ac:dyDescent="0.2">
      <c r="A717" s="50" t="s">
        <v>586</v>
      </c>
      <c r="B717" s="51" t="s">
        <v>317</v>
      </c>
      <c r="C717" s="60"/>
      <c r="D717" s="58" t="s">
        <v>580</v>
      </c>
      <c r="E717" s="53">
        <v>144</v>
      </c>
      <c r="F717" s="9">
        <v>59.17</v>
      </c>
      <c r="G717" s="10">
        <v>61</v>
      </c>
      <c r="H717" s="54">
        <f t="shared" ref="H717:H720" si="38">E717*G717</f>
        <v>8784</v>
      </c>
      <c r="I717" s="55">
        <v>0</v>
      </c>
      <c r="J717" s="56">
        <f t="shared" ref="J717:J720" si="39">(G717*E717)-I717</f>
        <v>8784</v>
      </c>
      <c r="K717" s="57">
        <f t="shared" ref="K717:K818" si="40">E717*F717</f>
        <v>8520.48</v>
      </c>
    </row>
    <row r="718" spans="1:14" ht="15" x14ac:dyDescent="0.2">
      <c r="A718" s="50" t="s">
        <v>586</v>
      </c>
      <c r="B718" s="51" t="s">
        <v>324</v>
      </c>
      <c r="C718" s="60"/>
      <c r="D718" s="58" t="s">
        <v>466</v>
      </c>
      <c r="E718" s="53">
        <v>150</v>
      </c>
      <c r="F718" s="9">
        <v>6.67</v>
      </c>
      <c r="G718" s="10">
        <v>7.67</v>
      </c>
      <c r="H718" s="54">
        <f t="shared" si="38"/>
        <v>1150.5</v>
      </c>
      <c r="I718" s="55">
        <v>0</v>
      </c>
      <c r="J718" s="56">
        <f t="shared" si="39"/>
        <v>1150.5</v>
      </c>
      <c r="K718" s="57">
        <f t="shared" si="40"/>
        <v>1000.5</v>
      </c>
    </row>
    <row r="719" spans="1:14" ht="15" x14ac:dyDescent="0.2">
      <c r="A719" s="50" t="s">
        <v>586</v>
      </c>
      <c r="B719" s="51" t="s">
        <v>331</v>
      </c>
      <c r="C719" s="60"/>
      <c r="D719" s="58" t="s">
        <v>473</v>
      </c>
      <c r="E719" s="53">
        <v>48</v>
      </c>
      <c r="F719" s="9">
        <v>8.7100000000000009</v>
      </c>
      <c r="G719" s="10">
        <v>9.2100000000000009</v>
      </c>
      <c r="H719" s="54">
        <f t="shared" si="38"/>
        <v>442.08000000000004</v>
      </c>
      <c r="I719" s="55">
        <v>0</v>
      </c>
      <c r="J719" s="56">
        <f t="shared" si="39"/>
        <v>442.08000000000004</v>
      </c>
      <c r="K719" s="57">
        <f t="shared" si="40"/>
        <v>418.08000000000004</v>
      </c>
    </row>
    <row r="720" spans="1:14" ht="15" x14ac:dyDescent="0.2">
      <c r="A720" s="50" t="s">
        <v>586</v>
      </c>
      <c r="B720" s="51" t="s">
        <v>332</v>
      </c>
      <c r="C720" s="60"/>
      <c r="D720" s="58" t="s">
        <v>474</v>
      </c>
      <c r="E720" s="53">
        <v>24</v>
      </c>
      <c r="F720" s="9">
        <v>14.58</v>
      </c>
      <c r="G720" s="10">
        <v>16.75</v>
      </c>
      <c r="H720" s="54">
        <f t="shared" si="38"/>
        <v>402</v>
      </c>
      <c r="I720" s="55">
        <v>0</v>
      </c>
      <c r="J720" s="56">
        <f t="shared" si="39"/>
        <v>402</v>
      </c>
      <c r="K720" s="57">
        <f t="shared" si="40"/>
        <v>349.92</v>
      </c>
      <c r="L720" s="2">
        <v>54967.92</v>
      </c>
      <c r="M720" s="2">
        <v>54967.88</v>
      </c>
      <c r="N720" s="22">
        <f>M720-L720</f>
        <v>-4.0000000000873115E-2</v>
      </c>
    </row>
    <row r="721" spans="1:11" ht="15" x14ac:dyDescent="0.2">
      <c r="A721" s="50" t="s">
        <v>628</v>
      </c>
      <c r="B721" s="51" t="s">
        <v>335</v>
      </c>
      <c r="C721" s="60" t="s">
        <v>649</v>
      </c>
      <c r="D721" s="58" t="s">
        <v>575</v>
      </c>
      <c r="E721" s="53">
        <v>48</v>
      </c>
      <c r="F721" s="9">
        <v>7.04</v>
      </c>
      <c r="G721" s="82">
        <v>8.17</v>
      </c>
      <c r="H721" s="54">
        <f t="shared" ref="H721:H889" si="41">E721*G721</f>
        <v>392.15999999999997</v>
      </c>
      <c r="I721" s="55">
        <v>0</v>
      </c>
      <c r="J721" s="56">
        <f t="shared" ref="J721:J889" si="42">(G721*E721)-I721</f>
        <v>392.15999999999997</v>
      </c>
      <c r="K721" s="57">
        <f t="shared" si="40"/>
        <v>337.92</v>
      </c>
    </row>
    <row r="722" spans="1:11" ht="15" x14ac:dyDescent="0.2">
      <c r="A722" s="50" t="s">
        <v>628</v>
      </c>
      <c r="B722" s="51" t="s">
        <v>327</v>
      </c>
      <c r="C722" s="60" t="s">
        <v>650</v>
      </c>
      <c r="D722" s="58" t="s">
        <v>469</v>
      </c>
      <c r="E722" s="53">
        <v>40</v>
      </c>
      <c r="F722" s="9">
        <v>8.4</v>
      </c>
      <c r="G722" s="82">
        <v>8.8000000000000007</v>
      </c>
      <c r="H722" s="54">
        <f t="shared" si="41"/>
        <v>352</v>
      </c>
      <c r="I722" s="55">
        <v>0</v>
      </c>
      <c r="J722" s="56">
        <f t="shared" si="42"/>
        <v>352</v>
      </c>
      <c r="K722" s="57">
        <f t="shared" si="40"/>
        <v>336</v>
      </c>
    </row>
    <row r="723" spans="1:11" ht="15" x14ac:dyDescent="0.2">
      <c r="A723" s="50" t="s">
        <v>628</v>
      </c>
      <c r="B723" s="51" t="s">
        <v>337</v>
      </c>
      <c r="C723" s="60"/>
      <c r="D723" s="58" t="s">
        <v>479</v>
      </c>
      <c r="E723" s="53">
        <v>30</v>
      </c>
      <c r="F723" s="9">
        <v>8.4</v>
      </c>
      <c r="G723" s="82">
        <v>8.8000000000000007</v>
      </c>
      <c r="H723" s="54">
        <f t="shared" si="41"/>
        <v>264</v>
      </c>
      <c r="I723" s="55">
        <v>0</v>
      </c>
      <c r="J723" s="56">
        <f t="shared" si="42"/>
        <v>264</v>
      </c>
      <c r="K723" s="57">
        <f t="shared" si="40"/>
        <v>252</v>
      </c>
    </row>
    <row r="724" spans="1:11" ht="15" x14ac:dyDescent="0.2">
      <c r="A724" s="50" t="s">
        <v>628</v>
      </c>
      <c r="B724" s="51" t="s">
        <v>335</v>
      </c>
      <c r="C724" s="60" t="s">
        <v>651</v>
      </c>
      <c r="D724" s="58" t="s">
        <v>575</v>
      </c>
      <c r="E724" s="53">
        <v>24</v>
      </c>
      <c r="F724" s="9">
        <v>7.04</v>
      </c>
      <c r="G724" s="82">
        <v>8.17</v>
      </c>
      <c r="H724" s="54">
        <f t="shared" si="41"/>
        <v>196.07999999999998</v>
      </c>
      <c r="I724" s="55">
        <v>0</v>
      </c>
      <c r="J724" s="56">
        <f t="shared" si="42"/>
        <v>196.07999999999998</v>
      </c>
      <c r="K724" s="57">
        <f t="shared" si="40"/>
        <v>168.96</v>
      </c>
    </row>
    <row r="725" spans="1:11" ht="15" x14ac:dyDescent="0.2">
      <c r="A725" s="50" t="s">
        <v>628</v>
      </c>
      <c r="B725" s="51" t="s">
        <v>313</v>
      </c>
      <c r="C725" s="60"/>
      <c r="D725" s="58" t="s">
        <v>577</v>
      </c>
      <c r="E725" s="53">
        <v>12</v>
      </c>
      <c r="F725" s="9">
        <v>7.04</v>
      </c>
      <c r="G725" s="82">
        <v>8.17</v>
      </c>
      <c r="H725" s="54">
        <f t="shared" si="41"/>
        <v>98.039999999999992</v>
      </c>
      <c r="I725" s="55">
        <v>0</v>
      </c>
      <c r="J725" s="56">
        <f t="shared" si="42"/>
        <v>98.039999999999992</v>
      </c>
      <c r="K725" s="57">
        <f t="shared" si="40"/>
        <v>84.48</v>
      </c>
    </row>
    <row r="726" spans="1:11" ht="15" x14ac:dyDescent="0.2">
      <c r="A726" s="50" t="s">
        <v>628</v>
      </c>
      <c r="B726" s="51" t="s">
        <v>326</v>
      </c>
      <c r="C726" s="60"/>
      <c r="D726" s="58" t="s">
        <v>626</v>
      </c>
      <c r="E726" s="53">
        <v>12</v>
      </c>
      <c r="F726" s="9">
        <v>7.04</v>
      </c>
      <c r="G726" s="82">
        <v>8.17</v>
      </c>
      <c r="H726" s="54">
        <f t="shared" si="41"/>
        <v>98.039999999999992</v>
      </c>
      <c r="I726" s="55">
        <v>0</v>
      </c>
      <c r="J726" s="56">
        <f t="shared" si="42"/>
        <v>98.039999999999992</v>
      </c>
      <c r="K726" s="57">
        <f t="shared" si="40"/>
        <v>84.48</v>
      </c>
    </row>
    <row r="727" spans="1:11" ht="15" x14ac:dyDescent="0.2">
      <c r="A727" s="50" t="s">
        <v>628</v>
      </c>
      <c r="B727" s="51" t="s">
        <v>317</v>
      </c>
      <c r="C727" s="60" t="s">
        <v>652</v>
      </c>
      <c r="D727" s="58" t="s">
        <v>580</v>
      </c>
      <c r="E727" s="53">
        <v>12</v>
      </c>
      <c r="F727" s="9">
        <v>59.17</v>
      </c>
      <c r="G727" s="82">
        <v>61</v>
      </c>
      <c r="H727" s="54">
        <f t="shared" si="41"/>
        <v>732</v>
      </c>
      <c r="I727" s="55">
        <v>0</v>
      </c>
      <c r="J727" s="56">
        <f t="shared" si="42"/>
        <v>732</v>
      </c>
      <c r="K727" s="57">
        <f t="shared" ref="K727:K790" si="43">E727*F727</f>
        <v>710.04</v>
      </c>
    </row>
    <row r="728" spans="1:11" ht="15" x14ac:dyDescent="0.2">
      <c r="A728" s="50" t="s">
        <v>628</v>
      </c>
      <c r="B728" s="51" t="s">
        <v>324</v>
      </c>
      <c r="C728" s="60"/>
      <c r="D728" s="58" t="s">
        <v>466</v>
      </c>
      <c r="E728" s="53">
        <v>30</v>
      </c>
      <c r="F728" s="9">
        <v>6.67</v>
      </c>
      <c r="G728" s="82">
        <v>7.37</v>
      </c>
      <c r="H728" s="54">
        <f t="shared" si="41"/>
        <v>221.1</v>
      </c>
      <c r="I728" s="55">
        <v>0</v>
      </c>
      <c r="J728" s="56">
        <f t="shared" si="42"/>
        <v>221.1</v>
      </c>
      <c r="K728" s="57">
        <f t="shared" si="43"/>
        <v>200.1</v>
      </c>
    </row>
    <row r="729" spans="1:11" ht="15" x14ac:dyDescent="0.2">
      <c r="A729" s="50" t="s">
        <v>628</v>
      </c>
      <c r="B729" s="51" t="s">
        <v>320</v>
      </c>
      <c r="C729" s="60"/>
      <c r="D729" s="58" t="s">
        <v>585</v>
      </c>
      <c r="E729" s="53">
        <v>12</v>
      </c>
      <c r="F729" s="9">
        <v>11.58</v>
      </c>
      <c r="G729" s="82">
        <v>12</v>
      </c>
      <c r="H729" s="54">
        <f t="shared" si="41"/>
        <v>144</v>
      </c>
      <c r="I729" s="55">
        <v>0</v>
      </c>
      <c r="J729" s="56">
        <f t="shared" si="42"/>
        <v>144</v>
      </c>
      <c r="K729" s="57">
        <f t="shared" si="43"/>
        <v>138.96</v>
      </c>
    </row>
    <row r="730" spans="1:11" ht="15" x14ac:dyDescent="0.2">
      <c r="A730" s="50" t="s">
        <v>628</v>
      </c>
      <c r="B730" s="51" t="s">
        <v>336</v>
      </c>
      <c r="C730" s="60"/>
      <c r="D730" s="58" t="s">
        <v>627</v>
      </c>
      <c r="E730" s="53">
        <v>12</v>
      </c>
      <c r="F730" s="9">
        <v>11.58</v>
      </c>
      <c r="G730" s="82">
        <v>12</v>
      </c>
      <c r="H730" s="54">
        <f t="shared" si="41"/>
        <v>144</v>
      </c>
      <c r="I730" s="55">
        <v>0</v>
      </c>
      <c r="J730" s="56">
        <f t="shared" si="42"/>
        <v>144</v>
      </c>
      <c r="K730" s="57">
        <f t="shared" si="43"/>
        <v>138.96</v>
      </c>
    </row>
    <row r="731" spans="1:11" ht="15" x14ac:dyDescent="0.2">
      <c r="A731" s="50" t="s">
        <v>628</v>
      </c>
      <c r="B731" s="51" t="s">
        <v>323</v>
      </c>
      <c r="C731" s="60"/>
      <c r="D731" s="58" t="s">
        <v>574</v>
      </c>
      <c r="E731" s="53">
        <v>12</v>
      </c>
      <c r="F731" s="9">
        <v>15.92</v>
      </c>
      <c r="G731" s="82">
        <v>16.329999999999998</v>
      </c>
      <c r="H731" s="54">
        <f t="shared" si="41"/>
        <v>195.95999999999998</v>
      </c>
      <c r="I731" s="55">
        <v>0.06</v>
      </c>
      <c r="J731" s="56">
        <f t="shared" si="42"/>
        <v>195.89999999999998</v>
      </c>
      <c r="K731" s="57">
        <f t="shared" si="43"/>
        <v>191.04</v>
      </c>
    </row>
    <row r="732" spans="1:11" ht="15" x14ac:dyDescent="0.2">
      <c r="A732" s="50" t="s">
        <v>628</v>
      </c>
      <c r="B732" s="51" t="s">
        <v>316</v>
      </c>
      <c r="C732" s="60" t="s">
        <v>653</v>
      </c>
      <c r="D732" s="58" t="s">
        <v>572</v>
      </c>
      <c r="E732" s="53">
        <v>120</v>
      </c>
      <c r="F732" s="9">
        <v>15.92</v>
      </c>
      <c r="G732" s="82">
        <v>16.329999999999998</v>
      </c>
      <c r="H732" s="54">
        <f t="shared" si="41"/>
        <v>1959.6</v>
      </c>
      <c r="I732" s="55">
        <v>0</v>
      </c>
      <c r="J732" s="56">
        <f t="shared" si="42"/>
        <v>1959.6</v>
      </c>
      <c r="K732" s="57">
        <f t="shared" si="43"/>
        <v>1910.4</v>
      </c>
    </row>
    <row r="733" spans="1:11" ht="15" x14ac:dyDescent="0.2">
      <c r="A733" s="50" t="s">
        <v>628</v>
      </c>
      <c r="B733" s="51" t="s">
        <v>323</v>
      </c>
      <c r="C733" s="60"/>
      <c r="D733" s="58" t="s">
        <v>574</v>
      </c>
      <c r="E733" s="53">
        <v>24</v>
      </c>
      <c r="F733" s="9">
        <v>15.92</v>
      </c>
      <c r="G733" s="82">
        <v>16.329999999999998</v>
      </c>
      <c r="H733" s="54">
        <f t="shared" si="41"/>
        <v>391.91999999999996</v>
      </c>
      <c r="I733" s="55">
        <v>0</v>
      </c>
      <c r="J733" s="56">
        <f t="shared" si="42"/>
        <v>391.91999999999996</v>
      </c>
      <c r="K733" s="57">
        <f t="shared" si="43"/>
        <v>382.08</v>
      </c>
    </row>
    <row r="734" spans="1:11" ht="15" x14ac:dyDescent="0.2">
      <c r="A734" s="50" t="s">
        <v>628</v>
      </c>
      <c r="B734" s="51" t="s">
        <v>317</v>
      </c>
      <c r="C734" s="60"/>
      <c r="D734" s="58" t="s">
        <v>580</v>
      </c>
      <c r="E734" s="53">
        <v>12</v>
      </c>
      <c r="F734" s="9">
        <v>59.17</v>
      </c>
      <c r="G734" s="82">
        <v>61</v>
      </c>
      <c r="H734" s="54">
        <f t="shared" si="41"/>
        <v>732</v>
      </c>
      <c r="I734" s="55">
        <v>0</v>
      </c>
      <c r="J734" s="56">
        <f t="shared" si="42"/>
        <v>732</v>
      </c>
      <c r="K734" s="57">
        <f t="shared" si="43"/>
        <v>710.04</v>
      </c>
    </row>
    <row r="735" spans="1:11" ht="15" x14ac:dyDescent="0.2">
      <c r="A735" s="50" t="s">
        <v>628</v>
      </c>
      <c r="B735" s="51" t="s">
        <v>328</v>
      </c>
      <c r="C735" s="60"/>
      <c r="D735" s="58" t="s">
        <v>647</v>
      </c>
      <c r="E735" s="53">
        <v>6</v>
      </c>
      <c r="F735" s="9">
        <v>59.17</v>
      </c>
      <c r="G735" s="82">
        <v>61</v>
      </c>
      <c r="H735" s="54">
        <f t="shared" si="41"/>
        <v>366</v>
      </c>
      <c r="I735" s="55">
        <v>0</v>
      </c>
      <c r="J735" s="56">
        <f t="shared" si="42"/>
        <v>366</v>
      </c>
      <c r="K735" s="57">
        <f t="shared" si="43"/>
        <v>355.02</v>
      </c>
    </row>
    <row r="736" spans="1:11" ht="15" x14ac:dyDescent="0.2">
      <c r="A736" s="50" t="s">
        <v>628</v>
      </c>
      <c r="B736" s="51" t="s">
        <v>318</v>
      </c>
      <c r="C736" s="60"/>
      <c r="D736" s="58" t="s">
        <v>581</v>
      </c>
      <c r="E736" s="53">
        <v>6</v>
      </c>
      <c r="F736" s="9">
        <v>59.17</v>
      </c>
      <c r="G736" s="82">
        <v>61</v>
      </c>
      <c r="H736" s="54">
        <f t="shared" si="41"/>
        <v>366</v>
      </c>
      <c r="I736" s="55">
        <v>0</v>
      </c>
      <c r="J736" s="56">
        <f t="shared" si="42"/>
        <v>366</v>
      </c>
      <c r="K736" s="57">
        <f t="shared" si="43"/>
        <v>355.02</v>
      </c>
    </row>
    <row r="737" spans="1:11" ht="15" x14ac:dyDescent="0.2">
      <c r="A737" s="50" t="s">
        <v>628</v>
      </c>
      <c r="B737" s="51" t="s">
        <v>332</v>
      </c>
      <c r="C737" s="60"/>
      <c r="D737" s="58" t="s">
        <v>474</v>
      </c>
      <c r="E737" s="53">
        <v>24</v>
      </c>
      <c r="F737" s="9">
        <v>14.58</v>
      </c>
      <c r="G737" s="82">
        <v>16.75</v>
      </c>
      <c r="H737" s="54">
        <f t="shared" si="41"/>
        <v>402</v>
      </c>
      <c r="I737" s="55">
        <v>0</v>
      </c>
      <c r="J737" s="56">
        <f t="shared" si="42"/>
        <v>402</v>
      </c>
      <c r="K737" s="57">
        <f t="shared" si="43"/>
        <v>349.92</v>
      </c>
    </row>
    <row r="738" spans="1:11" ht="15" x14ac:dyDescent="0.2">
      <c r="A738" s="50" t="s">
        <v>628</v>
      </c>
      <c r="B738" s="51" t="s">
        <v>331</v>
      </c>
      <c r="C738" s="60"/>
      <c r="D738" s="58" t="s">
        <v>473</v>
      </c>
      <c r="E738" s="53">
        <v>24</v>
      </c>
      <c r="F738" s="9">
        <v>8.7100000000000009</v>
      </c>
      <c r="G738" s="82">
        <v>9.58</v>
      </c>
      <c r="H738" s="54">
        <f t="shared" si="41"/>
        <v>229.92000000000002</v>
      </c>
      <c r="I738" s="55">
        <v>0</v>
      </c>
      <c r="J738" s="56">
        <f t="shared" si="42"/>
        <v>229.92000000000002</v>
      </c>
      <c r="K738" s="57">
        <f t="shared" si="43"/>
        <v>209.04000000000002</v>
      </c>
    </row>
    <row r="739" spans="1:11" ht="15" x14ac:dyDescent="0.2">
      <c r="A739" s="50" t="s">
        <v>628</v>
      </c>
      <c r="B739" s="51" t="s">
        <v>329</v>
      </c>
      <c r="C739" s="60"/>
      <c r="D739" s="58" t="s">
        <v>578</v>
      </c>
      <c r="E739" s="53">
        <v>12</v>
      </c>
      <c r="F739" s="9">
        <v>21.33</v>
      </c>
      <c r="G739" s="82">
        <v>23.58</v>
      </c>
      <c r="H739" s="54">
        <f t="shared" si="41"/>
        <v>282.95999999999998</v>
      </c>
      <c r="I739" s="55">
        <v>0</v>
      </c>
      <c r="J739" s="56">
        <f t="shared" si="42"/>
        <v>282.95999999999998</v>
      </c>
      <c r="K739" s="57">
        <f t="shared" si="43"/>
        <v>255.95999999999998</v>
      </c>
    </row>
    <row r="740" spans="1:11" ht="15" x14ac:dyDescent="0.2">
      <c r="A740" s="50" t="s">
        <v>628</v>
      </c>
      <c r="B740" s="51" t="s">
        <v>325</v>
      </c>
      <c r="C740" s="60"/>
      <c r="D740" s="58" t="s">
        <v>579</v>
      </c>
      <c r="E740" s="53">
        <v>12</v>
      </c>
      <c r="F740" s="9">
        <v>21.33</v>
      </c>
      <c r="G740" s="82">
        <v>23.58</v>
      </c>
      <c r="H740" s="54">
        <f t="shared" si="41"/>
        <v>282.95999999999998</v>
      </c>
      <c r="I740" s="55">
        <v>0</v>
      </c>
      <c r="J740" s="56">
        <f t="shared" si="42"/>
        <v>282.95999999999998</v>
      </c>
      <c r="K740" s="57">
        <f t="shared" si="43"/>
        <v>255.95999999999998</v>
      </c>
    </row>
    <row r="741" spans="1:11" ht="15" x14ac:dyDescent="0.2">
      <c r="A741" s="50" t="s">
        <v>628</v>
      </c>
      <c r="B741" s="51" t="s">
        <v>335</v>
      </c>
      <c r="C741" s="60"/>
      <c r="D741" s="58" t="s">
        <v>575</v>
      </c>
      <c r="E741" s="53">
        <v>24</v>
      </c>
      <c r="F741" s="9">
        <v>7.04</v>
      </c>
      <c r="G741" s="82">
        <v>8.17</v>
      </c>
      <c r="H741" s="54">
        <f t="shared" si="41"/>
        <v>196.07999999999998</v>
      </c>
      <c r="I741" s="55">
        <v>9.44</v>
      </c>
      <c r="J741" s="56">
        <f t="shared" si="42"/>
        <v>186.64</v>
      </c>
      <c r="K741" s="57">
        <f t="shared" si="43"/>
        <v>168.96</v>
      </c>
    </row>
    <row r="742" spans="1:11" ht="15" x14ac:dyDescent="0.2">
      <c r="A742" s="50" t="s">
        <v>628</v>
      </c>
      <c r="B742" s="51" t="s">
        <v>335</v>
      </c>
      <c r="C742" s="60" t="s">
        <v>654</v>
      </c>
      <c r="D742" s="58" t="s">
        <v>575</v>
      </c>
      <c r="E742" s="53">
        <v>120</v>
      </c>
      <c r="F742" s="9">
        <v>7.04</v>
      </c>
      <c r="G742" s="82">
        <v>8.17</v>
      </c>
      <c r="H742" s="54">
        <f t="shared" si="41"/>
        <v>980.4</v>
      </c>
      <c r="I742" s="55">
        <v>0</v>
      </c>
      <c r="J742" s="56">
        <f t="shared" si="42"/>
        <v>980.4</v>
      </c>
      <c r="K742" s="57">
        <f t="shared" si="43"/>
        <v>844.8</v>
      </c>
    </row>
    <row r="743" spans="1:11" ht="15" x14ac:dyDescent="0.2">
      <c r="A743" s="50" t="s">
        <v>628</v>
      </c>
      <c r="B743" s="51" t="s">
        <v>326</v>
      </c>
      <c r="C743" s="60"/>
      <c r="D743" s="58" t="s">
        <v>626</v>
      </c>
      <c r="E743" s="53">
        <v>24</v>
      </c>
      <c r="F743" s="9">
        <v>7.04</v>
      </c>
      <c r="G743" s="82">
        <v>8.17</v>
      </c>
      <c r="H743" s="54">
        <f t="shared" si="41"/>
        <v>196.07999999999998</v>
      </c>
      <c r="I743" s="55">
        <v>0</v>
      </c>
      <c r="J743" s="56">
        <f t="shared" si="42"/>
        <v>196.07999999999998</v>
      </c>
      <c r="K743" s="57">
        <f t="shared" si="43"/>
        <v>168.96</v>
      </c>
    </row>
    <row r="744" spans="1:11" ht="15" x14ac:dyDescent="0.2">
      <c r="A744" s="50" t="s">
        <v>628</v>
      </c>
      <c r="B744" s="51" t="s">
        <v>332</v>
      </c>
      <c r="C744" s="60"/>
      <c r="D744" s="58" t="s">
        <v>474</v>
      </c>
      <c r="E744" s="53">
        <v>12</v>
      </c>
      <c r="F744" s="9">
        <v>14.58</v>
      </c>
      <c r="G744" s="82">
        <v>16.75</v>
      </c>
      <c r="H744" s="54">
        <f t="shared" si="41"/>
        <v>201</v>
      </c>
      <c r="I744" s="55">
        <v>0</v>
      </c>
      <c r="J744" s="56">
        <f t="shared" si="42"/>
        <v>201</v>
      </c>
      <c r="K744" s="57">
        <f t="shared" si="43"/>
        <v>174.96</v>
      </c>
    </row>
    <row r="745" spans="1:11" ht="15" x14ac:dyDescent="0.2">
      <c r="A745" s="50" t="s">
        <v>628</v>
      </c>
      <c r="B745" s="51" t="s">
        <v>316</v>
      </c>
      <c r="C745" s="60"/>
      <c r="D745" s="58" t="s">
        <v>572</v>
      </c>
      <c r="E745" s="53">
        <v>60</v>
      </c>
      <c r="F745" s="9">
        <v>15.92</v>
      </c>
      <c r="G745" s="82">
        <v>16.329999999999998</v>
      </c>
      <c r="H745" s="54">
        <f t="shared" si="41"/>
        <v>979.8</v>
      </c>
      <c r="I745" s="55">
        <v>0</v>
      </c>
      <c r="J745" s="56">
        <f t="shared" si="42"/>
        <v>979.8</v>
      </c>
      <c r="K745" s="57">
        <f t="shared" si="43"/>
        <v>955.2</v>
      </c>
    </row>
    <row r="746" spans="1:11" ht="15" x14ac:dyDescent="0.2">
      <c r="A746" s="50" t="s">
        <v>628</v>
      </c>
      <c r="B746" s="51" t="s">
        <v>319</v>
      </c>
      <c r="C746" s="60"/>
      <c r="D746" s="58" t="s">
        <v>576</v>
      </c>
      <c r="E746" s="53">
        <v>60</v>
      </c>
      <c r="F746" s="9">
        <v>11.58</v>
      </c>
      <c r="G746" s="82">
        <v>12</v>
      </c>
      <c r="H746" s="54">
        <f t="shared" si="41"/>
        <v>720</v>
      </c>
      <c r="I746" s="55">
        <v>5.28</v>
      </c>
      <c r="J746" s="56">
        <f t="shared" si="42"/>
        <v>714.72</v>
      </c>
      <c r="K746" s="57">
        <f t="shared" si="43"/>
        <v>694.8</v>
      </c>
    </row>
    <row r="747" spans="1:11" ht="15" x14ac:dyDescent="0.2">
      <c r="A747" s="50" t="s">
        <v>628</v>
      </c>
      <c r="B747" s="51" t="s">
        <v>316</v>
      </c>
      <c r="C747" s="60" t="s">
        <v>655</v>
      </c>
      <c r="D747" s="58" t="s">
        <v>572</v>
      </c>
      <c r="E747" s="53">
        <v>36</v>
      </c>
      <c r="F747" s="9">
        <v>15.92</v>
      </c>
      <c r="G747" s="82">
        <v>16.329999999999998</v>
      </c>
      <c r="H747" s="54">
        <f t="shared" si="41"/>
        <v>587.87999999999988</v>
      </c>
      <c r="I747" s="55">
        <v>0</v>
      </c>
      <c r="J747" s="56">
        <f t="shared" si="42"/>
        <v>587.87999999999988</v>
      </c>
      <c r="K747" s="57">
        <f t="shared" si="43"/>
        <v>573.12</v>
      </c>
    </row>
    <row r="748" spans="1:11" ht="15" x14ac:dyDescent="0.2">
      <c r="A748" s="50" t="s">
        <v>628</v>
      </c>
      <c r="B748" s="51" t="s">
        <v>319</v>
      </c>
      <c r="C748" s="60"/>
      <c r="D748" s="58" t="s">
        <v>576</v>
      </c>
      <c r="E748" s="53">
        <v>24</v>
      </c>
      <c r="F748" s="9">
        <v>11.58</v>
      </c>
      <c r="G748" s="82">
        <v>12</v>
      </c>
      <c r="H748" s="54">
        <f t="shared" si="41"/>
        <v>288</v>
      </c>
      <c r="I748" s="55">
        <v>0</v>
      </c>
      <c r="J748" s="56">
        <f t="shared" si="42"/>
        <v>288</v>
      </c>
      <c r="K748" s="57">
        <f t="shared" si="43"/>
        <v>277.92</v>
      </c>
    </row>
    <row r="749" spans="1:11" ht="15" x14ac:dyDescent="0.2">
      <c r="A749" s="50" t="s">
        <v>628</v>
      </c>
      <c r="B749" s="51" t="s">
        <v>324</v>
      </c>
      <c r="C749" s="60"/>
      <c r="D749" s="58" t="s">
        <v>466</v>
      </c>
      <c r="E749" s="53">
        <v>30</v>
      </c>
      <c r="F749" s="9">
        <v>6.67</v>
      </c>
      <c r="G749" s="82">
        <v>7.37</v>
      </c>
      <c r="H749" s="54">
        <f t="shared" si="41"/>
        <v>221.1</v>
      </c>
      <c r="I749" s="55">
        <v>0</v>
      </c>
      <c r="J749" s="56">
        <f t="shared" si="42"/>
        <v>221.1</v>
      </c>
      <c r="K749" s="57">
        <f t="shared" si="43"/>
        <v>200.1</v>
      </c>
    </row>
    <row r="750" spans="1:11" ht="15" x14ac:dyDescent="0.2">
      <c r="A750" s="50" t="s">
        <v>628</v>
      </c>
      <c r="B750" s="51" t="s">
        <v>317</v>
      </c>
      <c r="C750" s="60"/>
      <c r="D750" s="58" t="s">
        <v>580</v>
      </c>
      <c r="E750" s="53">
        <v>6</v>
      </c>
      <c r="F750" s="9">
        <v>59.17</v>
      </c>
      <c r="G750" s="82">
        <v>61</v>
      </c>
      <c r="H750" s="54">
        <f t="shared" si="41"/>
        <v>366</v>
      </c>
      <c r="I750" s="55">
        <v>0</v>
      </c>
      <c r="J750" s="56">
        <f t="shared" si="42"/>
        <v>366</v>
      </c>
      <c r="K750" s="57">
        <f t="shared" si="43"/>
        <v>355.02</v>
      </c>
    </row>
    <row r="751" spans="1:11" ht="15" x14ac:dyDescent="0.2">
      <c r="A751" s="50" t="s">
        <v>628</v>
      </c>
      <c r="B751" s="51" t="s">
        <v>328</v>
      </c>
      <c r="C751" s="60"/>
      <c r="D751" s="58" t="s">
        <v>647</v>
      </c>
      <c r="E751" s="53">
        <v>3</v>
      </c>
      <c r="F751" s="9">
        <v>59.17</v>
      </c>
      <c r="G751" s="82">
        <v>61</v>
      </c>
      <c r="H751" s="54">
        <f t="shared" si="41"/>
        <v>183</v>
      </c>
      <c r="I751" s="55">
        <v>0</v>
      </c>
      <c r="J751" s="56">
        <f t="shared" si="42"/>
        <v>183</v>
      </c>
      <c r="K751" s="57">
        <f t="shared" si="43"/>
        <v>177.51</v>
      </c>
    </row>
    <row r="752" spans="1:11" ht="15" x14ac:dyDescent="0.2">
      <c r="A752" s="50" t="s">
        <v>628</v>
      </c>
      <c r="B752" s="51" t="s">
        <v>318</v>
      </c>
      <c r="C752" s="60"/>
      <c r="D752" s="58" t="s">
        <v>581</v>
      </c>
      <c r="E752" s="53">
        <v>3</v>
      </c>
      <c r="F752" s="9">
        <v>59.17</v>
      </c>
      <c r="G752" s="82">
        <v>61</v>
      </c>
      <c r="H752" s="54">
        <f t="shared" si="41"/>
        <v>183</v>
      </c>
      <c r="I752" s="55">
        <v>0</v>
      </c>
      <c r="J752" s="56">
        <f t="shared" si="42"/>
        <v>183</v>
      </c>
      <c r="K752" s="57">
        <f t="shared" si="43"/>
        <v>177.51</v>
      </c>
    </row>
    <row r="753" spans="1:11" ht="15" x14ac:dyDescent="0.2">
      <c r="A753" s="50" t="s">
        <v>628</v>
      </c>
      <c r="B753" s="51" t="s">
        <v>329</v>
      </c>
      <c r="C753" s="60" t="s">
        <v>656</v>
      </c>
      <c r="D753" s="58" t="s">
        <v>578</v>
      </c>
      <c r="E753" s="53">
        <v>6</v>
      </c>
      <c r="F753" s="9">
        <v>21.33</v>
      </c>
      <c r="G753" s="82">
        <v>23.58</v>
      </c>
      <c r="H753" s="54">
        <f t="shared" si="41"/>
        <v>141.47999999999999</v>
      </c>
      <c r="I753" s="55">
        <v>0</v>
      </c>
      <c r="J753" s="56">
        <f t="shared" si="42"/>
        <v>141.47999999999999</v>
      </c>
      <c r="K753" s="57">
        <f t="shared" si="43"/>
        <v>127.97999999999999</v>
      </c>
    </row>
    <row r="754" spans="1:11" ht="15" x14ac:dyDescent="0.2">
      <c r="A754" s="50" t="s">
        <v>628</v>
      </c>
      <c r="B754" s="51" t="s">
        <v>325</v>
      </c>
      <c r="C754" s="60"/>
      <c r="D754" s="58" t="s">
        <v>579</v>
      </c>
      <c r="E754" s="53">
        <v>6</v>
      </c>
      <c r="F754" s="9">
        <v>21.33</v>
      </c>
      <c r="G754" s="82">
        <v>23.58</v>
      </c>
      <c r="H754" s="54">
        <f t="shared" si="41"/>
        <v>141.47999999999999</v>
      </c>
      <c r="I754" s="55">
        <v>0</v>
      </c>
      <c r="J754" s="56">
        <f t="shared" si="42"/>
        <v>141.47999999999999</v>
      </c>
      <c r="K754" s="57">
        <f t="shared" si="43"/>
        <v>127.97999999999999</v>
      </c>
    </row>
    <row r="755" spans="1:11" ht="15" x14ac:dyDescent="0.2">
      <c r="A755" s="50" t="s">
        <v>628</v>
      </c>
      <c r="B755" s="51" t="s">
        <v>335</v>
      </c>
      <c r="C755" s="60"/>
      <c r="D755" s="58" t="s">
        <v>575</v>
      </c>
      <c r="E755" s="53">
        <v>72</v>
      </c>
      <c r="F755" s="9">
        <v>7.04</v>
      </c>
      <c r="G755" s="82">
        <v>8.17</v>
      </c>
      <c r="H755" s="54">
        <f t="shared" si="41"/>
        <v>588.24</v>
      </c>
      <c r="I755" s="55">
        <v>0</v>
      </c>
      <c r="J755" s="56">
        <f t="shared" si="42"/>
        <v>588.24</v>
      </c>
      <c r="K755" s="57">
        <f t="shared" si="43"/>
        <v>506.88</v>
      </c>
    </row>
    <row r="756" spans="1:11" ht="15" x14ac:dyDescent="0.2">
      <c r="A756" s="50" t="s">
        <v>628</v>
      </c>
      <c r="B756" s="51" t="s">
        <v>313</v>
      </c>
      <c r="C756" s="60"/>
      <c r="D756" s="58" t="s">
        <v>577</v>
      </c>
      <c r="E756" s="53">
        <v>12</v>
      </c>
      <c r="F756" s="9">
        <v>7.04</v>
      </c>
      <c r="G756" s="82">
        <v>8.17</v>
      </c>
      <c r="H756" s="54">
        <f t="shared" si="41"/>
        <v>98.039999999999992</v>
      </c>
      <c r="I756" s="55">
        <v>0</v>
      </c>
      <c r="J756" s="56">
        <f t="shared" si="42"/>
        <v>98.039999999999992</v>
      </c>
      <c r="K756" s="57">
        <f t="shared" si="43"/>
        <v>84.48</v>
      </c>
    </row>
    <row r="757" spans="1:11" ht="15" x14ac:dyDescent="0.2">
      <c r="A757" s="50" t="s">
        <v>628</v>
      </c>
      <c r="B757" s="51" t="s">
        <v>326</v>
      </c>
      <c r="C757" s="60"/>
      <c r="D757" s="58" t="s">
        <v>626</v>
      </c>
      <c r="E757" s="53">
        <v>12</v>
      </c>
      <c r="F757" s="9">
        <v>7.04</v>
      </c>
      <c r="G757" s="82">
        <v>8.17</v>
      </c>
      <c r="H757" s="54">
        <f t="shared" si="41"/>
        <v>98.039999999999992</v>
      </c>
      <c r="I757" s="55">
        <v>0</v>
      </c>
      <c r="J757" s="56">
        <f t="shared" si="42"/>
        <v>98.039999999999992</v>
      </c>
      <c r="K757" s="57">
        <f t="shared" si="43"/>
        <v>84.48</v>
      </c>
    </row>
    <row r="758" spans="1:11" ht="15" x14ac:dyDescent="0.2">
      <c r="A758" s="50" t="s">
        <v>628</v>
      </c>
      <c r="B758" s="51" t="s">
        <v>316</v>
      </c>
      <c r="C758" s="60"/>
      <c r="D758" s="58" t="s">
        <v>572</v>
      </c>
      <c r="E758" s="53">
        <v>24</v>
      </c>
      <c r="F758" s="9">
        <v>15.92</v>
      </c>
      <c r="G758" s="82">
        <v>16.329999999999998</v>
      </c>
      <c r="H758" s="54">
        <f t="shared" si="41"/>
        <v>391.91999999999996</v>
      </c>
      <c r="I758" s="55">
        <v>0.2</v>
      </c>
      <c r="J758" s="56">
        <f t="shared" si="42"/>
        <v>391.71999999999997</v>
      </c>
      <c r="K758" s="57">
        <f t="shared" si="43"/>
        <v>382.08</v>
      </c>
    </row>
    <row r="759" spans="1:11" ht="15" x14ac:dyDescent="0.2">
      <c r="A759" s="50" t="s">
        <v>628</v>
      </c>
      <c r="B759" s="51" t="s">
        <v>317</v>
      </c>
      <c r="C759" s="60" t="s">
        <v>657</v>
      </c>
      <c r="D759" s="58" t="s">
        <v>580</v>
      </c>
      <c r="E759" s="53">
        <v>12</v>
      </c>
      <c r="F759" s="9">
        <v>59.17</v>
      </c>
      <c r="G759" s="82">
        <v>61</v>
      </c>
      <c r="H759" s="54">
        <f t="shared" si="41"/>
        <v>732</v>
      </c>
      <c r="I759" s="55">
        <v>0</v>
      </c>
      <c r="J759" s="56">
        <f t="shared" si="42"/>
        <v>732</v>
      </c>
      <c r="K759" s="57">
        <f t="shared" si="43"/>
        <v>710.04</v>
      </c>
    </row>
    <row r="760" spans="1:11" ht="15" x14ac:dyDescent="0.2">
      <c r="A760" s="50" t="s">
        <v>628</v>
      </c>
      <c r="B760" s="51" t="s">
        <v>318</v>
      </c>
      <c r="C760" s="60"/>
      <c r="D760" s="58" t="s">
        <v>581</v>
      </c>
      <c r="E760" s="53">
        <v>12</v>
      </c>
      <c r="F760" s="9">
        <v>59.17</v>
      </c>
      <c r="G760" s="82">
        <v>61</v>
      </c>
      <c r="H760" s="54">
        <f t="shared" si="41"/>
        <v>732</v>
      </c>
      <c r="I760" s="55">
        <v>0</v>
      </c>
      <c r="J760" s="56">
        <f t="shared" si="42"/>
        <v>732</v>
      </c>
      <c r="K760" s="57">
        <f t="shared" si="43"/>
        <v>710.04</v>
      </c>
    </row>
    <row r="761" spans="1:11" ht="15" x14ac:dyDescent="0.2">
      <c r="A761" s="50" t="s">
        <v>628</v>
      </c>
      <c r="B761" s="51" t="s">
        <v>331</v>
      </c>
      <c r="C761" s="60"/>
      <c r="D761" s="58" t="s">
        <v>473</v>
      </c>
      <c r="E761" s="53">
        <v>24</v>
      </c>
      <c r="F761" s="9">
        <v>8.7100000000000009</v>
      </c>
      <c r="G761" s="82">
        <v>9.58</v>
      </c>
      <c r="H761" s="54">
        <f t="shared" si="41"/>
        <v>229.92000000000002</v>
      </c>
      <c r="I761" s="55">
        <v>0</v>
      </c>
      <c r="J761" s="56">
        <f t="shared" si="42"/>
        <v>229.92000000000002</v>
      </c>
      <c r="K761" s="57">
        <f t="shared" si="43"/>
        <v>209.04000000000002</v>
      </c>
    </row>
    <row r="762" spans="1:11" ht="15" x14ac:dyDescent="0.2">
      <c r="A762" s="50" t="s">
        <v>628</v>
      </c>
      <c r="B762" s="51" t="s">
        <v>316</v>
      </c>
      <c r="C762" s="60"/>
      <c r="D762" s="58" t="s">
        <v>572</v>
      </c>
      <c r="E762" s="53">
        <v>48</v>
      </c>
      <c r="F762" s="9">
        <v>15.92</v>
      </c>
      <c r="G762" s="82">
        <v>16.329999999999998</v>
      </c>
      <c r="H762" s="54">
        <f t="shared" si="41"/>
        <v>783.83999999999992</v>
      </c>
      <c r="I762" s="55">
        <v>0</v>
      </c>
      <c r="J762" s="56">
        <f t="shared" si="42"/>
        <v>783.83999999999992</v>
      </c>
      <c r="K762" s="57">
        <f t="shared" si="43"/>
        <v>764.16</v>
      </c>
    </row>
    <row r="763" spans="1:11" ht="15" x14ac:dyDescent="0.2">
      <c r="A763" s="50" t="s">
        <v>628</v>
      </c>
      <c r="B763" s="51" t="s">
        <v>323</v>
      </c>
      <c r="C763" s="60"/>
      <c r="D763" s="58" t="s">
        <v>574</v>
      </c>
      <c r="E763" s="53">
        <v>12</v>
      </c>
      <c r="F763" s="9">
        <v>15.92</v>
      </c>
      <c r="G763" s="82">
        <v>16.329999999999998</v>
      </c>
      <c r="H763" s="54">
        <f t="shared" si="41"/>
        <v>195.95999999999998</v>
      </c>
      <c r="I763" s="55">
        <v>0</v>
      </c>
      <c r="J763" s="56">
        <f t="shared" si="42"/>
        <v>195.95999999999998</v>
      </c>
      <c r="K763" s="57">
        <f t="shared" si="43"/>
        <v>191.04</v>
      </c>
    </row>
    <row r="764" spans="1:11" ht="15" x14ac:dyDescent="0.2">
      <c r="A764" s="50" t="s">
        <v>628</v>
      </c>
      <c r="B764" s="51" t="s">
        <v>319</v>
      </c>
      <c r="C764" s="60"/>
      <c r="D764" s="58" t="s">
        <v>576</v>
      </c>
      <c r="E764" s="53">
        <v>24</v>
      </c>
      <c r="F764" s="9">
        <v>11.58</v>
      </c>
      <c r="G764" s="82">
        <v>12</v>
      </c>
      <c r="H764" s="54">
        <f t="shared" si="41"/>
        <v>288</v>
      </c>
      <c r="I764" s="55">
        <v>0</v>
      </c>
      <c r="J764" s="56">
        <f t="shared" si="42"/>
        <v>288</v>
      </c>
      <c r="K764" s="57">
        <f t="shared" si="43"/>
        <v>277.92</v>
      </c>
    </row>
    <row r="765" spans="1:11" ht="15" x14ac:dyDescent="0.2">
      <c r="A765" s="50" t="s">
        <v>628</v>
      </c>
      <c r="B765" s="51" t="s">
        <v>316</v>
      </c>
      <c r="C765" s="60" t="s">
        <v>658</v>
      </c>
      <c r="D765" s="58" t="s">
        <v>572</v>
      </c>
      <c r="E765" s="53">
        <v>48</v>
      </c>
      <c r="F765" s="9">
        <v>15.92</v>
      </c>
      <c r="G765" s="82">
        <v>16.329999999999998</v>
      </c>
      <c r="H765" s="54">
        <f t="shared" si="41"/>
        <v>783.83999999999992</v>
      </c>
      <c r="I765" s="55">
        <v>0</v>
      </c>
      <c r="J765" s="56">
        <f t="shared" si="42"/>
        <v>783.83999999999992</v>
      </c>
      <c r="K765" s="57">
        <f t="shared" si="43"/>
        <v>764.16</v>
      </c>
    </row>
    <row r="766" spans="1:11" ht="15" x14ac:dyDescent="0.2">
      <c r="A766" s="50" t="s">
        <v>628</v>
      </c>
      <c r="B766" s="51" t="s">
        <v>323</v>
      </c>
      <c r="C766" s="60"/>
      <c r="D766" s="58" t="s">
        <v>574</v>
      </c>
      <c r="E766" s="53">
        <v>12</v>
      </c>
      <c r="F766" s="9">
        <v>15.92</v>
      </c>
      <c r="G766" s="82">
        <v>16.329999999999998</v>
      </c>
      <c r="H766" s="54">
        <f t="shared" si="41"/>
        <v>195.95999999999998</v>
      </c>
      <c r="I766" s="55">
        <v>0</v>
      </c>
      <c r="J766" s="56">
        <f t="shared" si="42"/>
        <v>195.95999999999998</v>
      </c>
      <c r="K766" s="57">
        <f t="shared" si="43"/>
        <v>191.04</v>
      </c>
    </row>
    <row r="767" spans="1:11" ht="15" x14ac:dyDescent="0.2">
      <c r="A767" s="50" t="s">
        <v>628</v>
      </c>
      <c r="B767" s="51" t="s">
        <v>319</v>
      </c>
      <c r="C767" s="60"/>
      <c r="D767" s="58" t="s">
        <v>576</v>
      </c>
      <c r="E767" s="53">
        <v>48</v>
      </c>
      <c r="F767" s="9">
        <v>11.58</v>
      </c>
      <c r="G767" s="82">
        <v>12</v>
      </c>
      <c r="H767" s="54">
        <f t="shared" si="41"/>
        <v>576</v>
      </c>
      <c r="I767" s="55">
        <v>0</v>
      </c>
      <c r="J767" s="56">
        <f t="shared" si="42"/>
        <v>576</v>
      </c>
      <c r="K767" s="57">
        <f t="shared" si="43"/>
        <v>555.84</v>
      </c>
    </row>
    <row r="768" spans="1:11" ht="15" x14ac:dyDescent="0.2">
      <c r="A768" s="50" t="s">
        <v>628</v>
      </c>
      <c r="B768" s="51" t="s">
        <v>320</v>
      </c>
      <c r="C768" s="60"/>
      <c r="D768" s="58" t="s">
        <v>585</v>
      </c>
      <c r="E768" s="53">
        <v>12</v>
      </c>
      <c r="F768" s="9">
        <v>11.58</v>
      </c>
      <c r="G768" s="82">
        <v>12</v>
      </c>
      <c r="H768" s="54">
        <f t="shared" si="41"/>
        <v>144</v>
      </c>
      <c r="I768" s="55">
        <v>0</v>
      </c>
      <c r="J768" s="56">
        <f t="shared" si="42"/>
        <v>144</v>
      </c>
      <c r="K768" s="57">
        <f t="shared" si="43"/>
        <v>138.96</v>
      </c>
    </row>
    <row r="769" spans="1:11" ht="15" x14ac:dyDescent="0.2">
      <c r="A769" s="50" t="s">
        <v>628</v>
      </c>
      <c r="B769" s="51" t="s">
        <v>336</v>
      </c>
      <c r="C769" s="60"/>
      <c r="D769" s="58" t="s">
        <v>627</v>
      </c>
      <c r="E769" s="53">
        <v>12</v>
      </c>
      <c r="F769" s="9">
        <v>11.58</v>
      </c>
      <c r="G769" s="82">
        <v>12</v>
      </c>
      <c r="H769" s="54">
        <f t="shared" si="41"/>
        <v>144</v>
      </c>
      <c r="I769" s="55">
        <v>0</v>
      </c>
      <c r="J769" s="56">
        <f t="shared" si="42"/>
        <v>144</v>
      </c>
      <c r="K769" s="57">
        <f t="shared" si="43"/>
        <v>138.96</v>
      </c>
    </row>
    <row r="770" spans="1:11" ht="15" x14ac:dyDescent="0.2">
      <c r="A770" s="50" t="s">
        <v>628</v>
      </c>
      <c r="B770" s="51" t="s">
        <v>331</v>
      </c>
      <c r="C770" s="60"/>
      <c r="D770" s="58" t="s">
        <v>473</v>
      </c>
      <c r="E770" s="53">
        <v>24</v>
      </c>
      <c r="F770" s="9">
        <v>8.7100000000000009</v>
      </c>
      <c r="G770" s="82">
        <v>9.58</v>
      </c>
      <c r="H770" s="54">
        <f t="shared" si="41"/>
        <v>229.92000000000002</v>
      </c>
      <c r="I770" s="55">
        <v>0</v>
      </c>
      <c r="J770" s="56">
        <f t="shared" si="42"/>
        <v>229.92000000000002</v>
      </c>
      <c r="K770" s="57">
        <f t="shared" si="43"/>
        <v>209.04000000000002</v>
      </c>
    </row>
    <row r="771" spans="1:11" ht="15" x14ac:dyDescent="0.2">
      <c r="A771" s="50" t="s">
        <v>628</v>
      </c>
      <c r="B771" s="51" t="s">
        <v>324</v>
      </c>
      <c r="C771" s="60"/>
      <c r="D771" s="58" t="s">
        <v>466</v>
      </c>
      <c r="E771" s="53">
        <v>30</v>
      </c>
      <c r="F771" s="9">
        <v>6.67</v>
      </c>
      <c r="G771" s="82">
        <v>7.37</v>
      </c>
      <c r="H771" s="54">
        <f t="shared" si="41"/>
        <v>221.1</v>
      </c>
      <c r="I771" s="55">
        <v>0</v>
      </c>
      <c r="J771" s="56">
        <f t="shared" si="42"/>
        <v>221.1</v>
      </c>
      <c r="K771" s="57">
        <f t="shared" si="43"/>
        <v>200.1</v>
      </c>
    </row>
    <row r="772" spans="1:11" ht="15" x14ac:dyDescent="0.2">
      <c r="A772" s="50" t="s">
        <v>628</v>
      </c>
      <c r="B772" s="51" t="s">
        <v>335</v>
      </c>
      <c r="C772" s="60"/>
      <c r="D772" s="58" t="s">
        <v>575</v>
      </c>
      <c r="E772" s="53">
        <v>48</v>
      </c>
      <c r="F772" s="9">
        <v>7.04</v>
      </c>
      <c r="G772" s="82">
        <v>8.17</v>
      </c>
      <c r="H772" s="54">
        <f t="shared" si="41"/>
        <v>392.15999999999997</v>
      </c>
      <c r="I772" s="55">
        <v>0</v>
      </c>
      <c r="J772" s="56">
        <f t="shared" si="42"/>
        <v>392.15999999999997</v>
      </c>
      <c r="K772" s="57">
        <f t="shared" si="43"/>
        <v>337.92</v>
      </c>
    </row>
    <row r="773" spans="1:11" ht="15" x14ac:dyDescent="0.2">
      <c r="A773" s="50" t="s">
        <v>628</v>
      </c>
      <c r="B773" s="51" t="s">
        <v>335</v>
      </c>
      <c r="C773" s="60" t="s">
        <v>659</v>
      </c>
      <c r="D773" s="58" t="s">
        <v>575</v>
      </c>
      <c r="E773" s="53">
        <v>48</v>
      </c>
      <c r="F773" s="9">
        <v>7.04</v>
      </c>
      <c r="G773" s="82">
        <v>8.17</v>
      </c>
      <c r="H773" s="54">
        <f t="shared" si="41"/>
        <v>392.15999999999997</v>
      </c>
      <c r="I773" s="55">
        <v>0</v>
      </c>
      <c r="J773" s="56">
        <f t="shared" si="42"/>
        <v>392.15999999999997</v>
      </c>
      <c r="K773" s="57">
        <f t="shared" si="43"/>
        <v>337.92</v>
      </c>
    </row>
    <row r="774" spans="1:11" ht="15" x14ac:dyDescent="0.2">
      <c r="A774" s="50" t="s">
        <v>628</v>
      </c>
      <c r="B774" s="51" t="s">
        <v>326</v>
      </c>
      <c r="C774" s="60"/>
      <c r="D774" s="58" t="s">
        <v>626</v>
      </c>
      <c r="E774" s="53">
        <v>48</v>
      </c>
      <c r="F774" s="9">
        <v>7.04</v>
      </c>
      <c r="G774" s="82">
        <v>8.17</v>
      </c>
      <c r="H774" s="54">
        <f t="shared" si="41"/>
        <v>392.15999999999997</v>
      </c>
      <c r="I774" s="55">
        <v>0</v>
      </c>
      <c r="J774" s="56">
        <f t="shared" si="42"/>
        <v>392.15999999999997</v>
      </c>
      <c r="K774" s="57">
        <f t="shared" si="43"/>
        <v>337.92</v>
      </c>
    </row>
    <row r="775" spans="1:11" ht="15" x14ac:dyDescent="0.2">
      <c r="A775" s="50" t="s">
        <v>628</v>
      </c>
      <c r="B775" s="51" t="s">
        <v>329</v>
      </c>
      <c r="C775" s="60"/>
      <c r="D775" s="58" t="s">
        <v>578</v>
      </c>
      <c r="E775" s="53">
        <v>12</v>
      </c>
      <c r="F775" s="9">
        <v>21.33</v>
      </c>
      <c r="G775" s="82">
        <v>23.58</v>
      </c>
      <c r="H775" s="54">
        <f t="shared" si="41"/>
        <v>282.95999999999998</v>
      </c>
      <c r="I775" s="55">
        <v>0</v>
      </c>
      <c r="J775" s="56">
        <f t="shared" si="42"/>
        <v>282.95999999999998</v>
      </c>
      <c r="K775" s="57">
        <f t="shared" si="43"/>
        <v>255.95999999999998</v>
      </c>
    </row>
    <row r="776" spans="1:11" ht="15" x14ac:dyDescent="0.2">
      <c r="A776" s="50" t="s">
        <v>628</v>
      </c>
      <c r="B776" s="51" t="s">
        <v>325</v>
      </c>
      <c r="C776" s="60"/>
      <c r="D776" s="58" t="s">
        <v>579</v>
      </c>
      <c r="E776" s="53">
        <v>12</v>
      </c>
      <c r="F776" s="9">
        <v>21.33</v>
      </c>
      <c r="G776" s="82">
        <v>23.58</v>
      </c>
      <c r="H776" s="54">
        <f t="shared" si="41"/>
        <v>282.95999999999998</v>
      </c>
      <c r="I776" s="55">
        <v>0</v>
      </c>
      <c r="J776" s="56">
        <f t="shared" si="42"/>
        <v>282.95999999999998</v>
      </c>
      <c r="K776" s="57">
        <f t="shared" si="43"/>
        <v>255.95999999999998</v>
      </c>
    </row>
    <row r="777" spans="1:11" ht="15" x14ac:dyDescent="0.2">
      <c r="A777" s="50" t="s">
        <v>628</v>
      </c>
      <c r="B777" s="51" t="s">
        <v>323</v>
      </c>
      <c r="C777" s="60"/>
      <c r="D777" s="58" t="s">
        <v>574</v>
      </c>
      <c r="E777" s="53">
        <v>24</v>
      </c>
      <c r="F777" s="9">
        <v>15.92</v>
      </c>
      <c r="G777" s="82">
        <v>16.329999999999998</v>
      </c>
      <c r="H777" s="54">
        <f t="shared" si="41"/>
        <v>391.91999999999996</v>
      </c>
      <c r="I777" s="55">
        <v>0</v>
      </c>
      <c r="J777" s="56">
        <f t="shared" si="42"/>
        <v>391.91999999999996</v>
      </c>
      <c r="K777" s="57">
        <f t="shared" si="43"/>
        <v>382.08</v>
      </c>
    </row>
    <row r="778" spans="1:11" ht="15" x14ac:dyDescent="0.2">
      <c r="A778" s="50" t="s">
        <v>628</v>
      </c>
      <c r="B778" s="51" t="s">
        <v>317</v>
      </c>
      <c r="C778" s="60"/>
      <c r="D778" s="58" t="s">
        <v>580</v>
      </c>
      <c r="E778" s="53">
        <v>24</v>
      </c>
      <c r="F778" s="9">
        <v>59.17</v>
      </c>
      <c r="G778" s="82">
        <v>61</v>
      </c>
      <c r="H778" s="54">
        <f t="shared" si="41"/>
        <v>1464</v>
      </c>
      <c r="I778" s="55">
        <v>0.16</v>
      </c>
      <c r="J778" s="56">
        <f t="shared" si="42"/>
        <v>1463.84</v>
      </c>
      <c r="K778" s="57">
        <f t="shared" si="43"/>
        <v>1420.08</v>
      </c>
    </row>
    <row r="779" spans="1:11" ht="15" x14ac:dyDescent="0.2">
      <c r="A779" s="50" t="s">
        <v>628</v>
      </c>
      <c r="B779" s="51" t="s">
        <v>316</v>
      </c>
      <c r="C779" s="60" t="s">
        <v>660</v>
      </c>
      <c r="D779" s="58" t="s">
        <v>572</v>
      </c>
      <c r="E779" s="53">
        <v>36</v>
      </c>
      <c r="F779" s="9">
        <v>15.92</v>
      </c>
      <c r="G779" s="82">
        <v>16.329999999999998</v>
      </c>
      <c r="H779" s="54">
        <f t="shared" si="41"/>
        <v>587.87999999999988</v>
      </c>
      <c r="I779" s="55">
        <v>0</v>
      </c>
      <c r="J779" s="56">
        <f t="shared" si="42"/>
        <v>587.87999999999988</v>
      </c>
      <c r="K779" s="57">
        <f t="shared" si="43"/>
        <v>573.12</v>
      </c>
    </row>
    <row r="780" spans="1:11" ht="15" x14ac:dyDescent="0.2">
      <c r="A780" s="50" t="s">
        <v>628</v>
      </c>
      <c r="B780" s="51" t="s">
        <v>323</v>
      </c>
      <c r="C780" s="60"/>
      <c r="D780" s="58" t="s">
        <v>574</v>
      </c>
      <c r="E780" s="53">
        <v>12</v>
      </c>
      <c r="F780" s="9">
        <v>15.92</v>
      </c>
      <c r="G780" s="82">
        <v>16.329999999999998</v>
      </c>
      <c r="H780" s="54">
        <f t="shared" si="41"/>
        <v>195.95999999999998</v>
      </c>
      <c r="I780" s="55">
        <v>0</v>
      </c>
      <c r="J780" s="56">
        <f t="shared" si="42"/>
        <v>195.95999999999998</v>
      </c>
      <c r="K780" s="57">
        <f t="shared" si="43"/>
        <v>191.04</v>
      </c>
    </row>
    <row r="781" spans="1:11" ht="15" x14ac:dyDescent="0.2">
      <c r="A781" s="50" t="s">
        <v>628</v>
      </c>
      <c r="B781" s="51" t="s">
        <v>319</v>
      </c>
      <c r="C781" s="60"/>
      <c r="D781" s="58" t="s">
        <v>576</v>
      </c>
      <c r="E781" s="53">
        <v>24</v>
      </c>
      <c r="F781" s="9">
        <v>11.58</v>
      </c>
      <c r="G781" s="82">
        <v>12</v>
      </c>
      <c r="H781" s="54">
        <f t="shared" si="41"/>
        <v>288</v>
      </c>
      <c r="I781" s="55">
        <v>0</v>
      </c>
      <c r="J781" s="56">
        <f t="shared" si="42"/>
        <v>288</v>
      </c>
      <c r="K781" s="57">
        <f t="shared" si="43"/>
        <v>277.92</v>
      </c>
    </row>
    <row r="782" spans="1:11" ht="15" x14ac:dyDescent="0.2">
      <c r="A782" s="50" t="s">
        <v>628</v>
      </c>
      <c r="B782" s="51" t="s">
        <v>317</v>
      </c>
      <c r="C782" s="60"/>
      <c r="D782" s="58" t="s">
        <v>580</v>
      </c>
      <c r="E782" s="53">
        <v>6</v>
      </c>
      <c r="F782" s="9">
        <v>59.17</v>
      </c>
      <c r="G782" s="82">
        <v>61</v>
      </c>
      <c r="H782" s="54">
        <f t="shared" si="41"/>
        <v>366</v>
      </c>
      <c r="I782" s="55">
        <v>0</v>
      </c>
      <c r="J782" s="56">
        <f t="shared" si="42"/>
        <v>366</v>
      </c>
      <c r="K782" s="57">
        <f t="shared" si="43"/>
        <v>355.02</v>
      </c>
    </row>
    <row r="783" spans="1:11" ht="15" x14ac:dyDescent="0.2">
      <c r="A783" s="50" t="s">
        <v>628</v>
      </c>
      <c r="B783" s="51" t="s">
        <v>329</v>
      </c>
      <c r="C783" s="60" t="s">
        <v>661</v>
      </c>
      <c r="D783" s="58" t="s">
        <v>578</v>
      </c>
      <c r="E783" s="53">
        <v>24</v>
      </c>
      <c r="F783" s="9">
        <v>21.33</v>
      </c>
      <c r="G783" s="82">
        <v>23.58</v>
      </c>
      <c r="H783" s="54">
        <f t="shared" si="41"/>
        <v>565.91999999999996</v>
      </c>
      <c r="I783" s="55">
        <v>0</v>
      </c>
      <c r="J783" s="56">
        <f t="shared" si="42"/>
        <v>565.91999999999996</v>
      </c>
      <c r="K783" s="57">
        <f t="shared" si="43"/>
        <v>511.91999999999996</v>
      </c>
    </row>
    <row r="784" spans="1:11" ht="15" x14ac:dyDescent="0.2">
      <c r="A784" s="50" t="s">
        <v>628</v>
      </c>
      <c r="B784" s="51" t="s">
        <v>317</v>
      </c>
      <c r="C784" s="60" t="s">
        <v>662</v>
      </c>
      <c r="D784" s="58" t="s">
        <v>580</v>
      </c>
      <c r="E784" s="53">
        <v>12</v>
      </c>
      <c r="F784" s="9">
        <v>59.17</v>
      </c>
      <c r="G784" s="82">
        <v>61</v>
      </c>
      <c r="H784" s="54">
        <f t="shared" si="41"/>
        <v>732</v>
      </c>
      <c r="I784" s="55">
        <v>0</v>
      </c>
      <c r="J784" s="56">
        <f t="shared" si="42"/>
        <v>732</v>
      </c>
      <c r="K784" s="57">
        <f t="shared" si="43"/>
        <v>710.04</v>
      </c>
    </row>
    <row r="785" spans="1:11" ht="15" x14ac:dyDescent="0.2">
      <c r="A785" s="50" t="s">
        <v>628</v>
      </c>
      <c r="B785" s="51" t="s">
        <v>316</v>
      </c>
      <c r="C785" s="60"/>
      <c r="D785" s="58" t="s">
        <v>572</v>
      </c>
      <c r="E785" s="53">
        <v>72</v>
      </c>
      <c r="F785" s="9">
        <v>15.92</v>
      </c>
      <c r="G785" s="82">
        <v>16.329999999999998</v>
      </c>
      <c r="H785" s="54">
        <f t="shared" si="41"/>
        <v>1175.7599999999998</v>
      </c>
      <c r="I785" s="55">
        <v>0</v>
      </c>
      <c r="J785" s="56">
        <f t="shared" si="42"/>
        <v>1175.7599999999998</v>
      </c>
      <c r="K785" s="57">
        <f t="shared" si="43"/>
        <v>1146.24</v>
      </c>
    </row>
    <row r="786" spans="1:11" ht="15" x14ac:dyDescent="0.2">
      <c r="A786" s="50" t="s">
        <v>628</v>
      </c>
      <c r="B786" s="51" t="s">
        <v>324</v>
      </c>
      <c r="C786" s="60"/>
      <c r="D786" s="58" t="s">
        <v>466</v>
      </c>
      <c r="E786" s="53">
        <v>30</v>
      </c>
      <c r="F786" s="9">
        <v>6.67</v>
      </c>
      <c r="G786" s="82">
        <v>7.37</v>
      </c>
      <c r="H786" s="54">
        <f t="shared" si="41"/>
        <v>221.1</v>
      </c>
      <c r="I786" s="55">
        <v>0</v>
      </c>
      <c r="J786" s="56">
        <f t="shared" si="42"/>
        <v>221.1</v>
      </c>
      <c r="K786" s="57">
        <f t="shared" si="43"/>
        <v>200.1</v>
      </c>
    </row>
    <row r="787" spans="1:11" ht="15" x14ac:dyDescent="0.2">
      <c r="A787" s="50" t="s">
        <v>628</v>
      </c>
      <c r="B787" s="51" t="s">
        <v>318</v>
      </c>
      <c r="C787" s="60" t="s">
        <v>663</v>
      </c>
      <c r="D787" s="58" t="s">
        <v>581</v>
      </c>
      <c r="E787" s="53">
        <v>12</v>
      </c>
      <c r="F787" s="9">
        <v>59.17</v>
      </c>
      <c r="G787" s="82">
        <v>61</v>
      </c>
      <c r="H787" s="54">
        <f t="shared" si="41"/>
        <v>732</v>
      </c>
      <c r="I787" s="55">
        <v>0</v>
      </c>
      <c r="J787" s="56">
        <f t="shared" si="42"/>
        <v>732</v>
      </c>
      <c r="K787" s="57">
        <f t="shared" si="43"/>
        <v>710.04</v>
      </c>
    </row>
    <row r="788" spans="1:11" ht="15" x14ac:dyDescent="0.2">
      <c r="A788" s="50" t="s">
        <v>628</v>
      </c>
      <c r="B788" s="51" t="s">
        <v>316</v>
      </c>
      <c r="C788" s="60"/>
      <c r="D788" s="58" t="s">
        <v>572</v>
      </c>
      <c r="E788" s="53">
        <v>120</v>
      </c>
      <c r="F788" s="9">
        <v>15.92</v>
      </c>
      <c r="G788" s="82">
        <v>16.329999999999998</v>
      </c>
      <c r="H788" s="54">
        <f t="shared" si="41"/>
        <v>1959.6</v>
      </c>
      <c r="I788" s="55">
        <v>0</v>
      </c>
      <c r="J788" s="56">
        <f t="shared" si="42"/>
        <v>1959.6</v>
      </c>
      <c r="K788" s="57">
        <f t="shared" si="43"/>
        <v>1910.4</v>
      </c>
    </row>
    <row r="789" spans="1:11" ht="15" x14ac:dyDescent="0.2">
      <c r="A789" s="50" t="s">
        <v>628</v>
      </c>
      <c r="B789" s="51" t="s">
        <v>316</v>
      </c>
      <c r="C789" s="60" t="s">
        <v>664</v>
      </c>
      <c r="D789" s="58" t="s">
        <v>572</v>
      </c>
      <c r="E789" s="53">
        <v>60</v>
      </c>
      <c r="F789" s="9">
        <v>15.92</v>
      </c>
      <c r="G789" s="82">
        <v>16.329999999999998</v>
      </c>
      <c r="H789" s="54">
        <f t="shared" si="41"/>
        <v>979.8</v>
      </c>
      <c r="I789" s="55">
        <v>0</v>
      </c>
      <c r="J789" s="56">
        <f t="shared" si="42"/>
        <v>979.8</v>
      </c>
      <c r="K789" s="57">
        <f t="shared" si="43"/>
        <v>955.2</v>
      </c>
    </row>
    <row r="790" spans="1:11" ht="15" x14ac:dyDescent="0.2">
      <c r="A790" s="50" t="s">
        <v>628</v>
      </c>
      <c r="B790" s="51" t="s">
        <v>323</v>
      </c>
      <c r="C790" s="60"/>
      <c r="D790" s="58" t="s">
        <v>574</v>
      </c>
      <c r="E790" s="53">
        <v>24</v>
      </c>
      <c r="F790" s="9">
        <v>15.92</v>
      </c>
      <c r="G790" s="82">
        <v>16.329999999999998</v>
      </c>
      <c r="H790" s="54">
        <f t="shared" si="41"/>
        <v>391.91999999999996</v>
      </c>
      <c r="I790" s="55">
        <v>0</v>
      </c>
      <c r="J790" s="56">
        <f t="shared" si="42"/>
        <v>391.91999999999996</v>
      </c>
      <c r="K790" s="57">
        <f t="shared" si="43"/>
        <v>382.08</v>
      </c>
    </row>
    <row r="791" spans="1:11" ht="15" x14ac:dyDescent="0.2">
      <c r="A791" s="50" t="s">
        <v>628</v>
      </c>
      <c r="B791" s="51" t="s">
        <v>335</v>
      </c>
      <c r="C791" s="60" t="s">
        <v>665</v>
      </c>
      <c r="D791" s="58" t="s">
        <v>575</v>
      </c>
      <c r="E791" s="53">
        <v>24</v>
      </c>
      <c r="F791" s="9">
        <v>7.04</v>
      </c>
      <c r="G791" s="82">
        <v>8.17</v>
      </c>
      <c r="H791" s="54">
        <f t="shared" si="41"/>
        <v>196.07999999999998</v>
      </c>
      <c r="I791" s="55">
        <v>0</v>
      </c>
      <c r="J791" s="56">
        <f t="shared" si="42"/>
        <v>196.07999999999998</v>
      </c>
      <c r="K791" s="57">
        <f t="shared" ref="K791:K794" si="44">E791*F791</f>
        <v>168.96</v>
      </c>
    </row>
    <row r="792" spans="1:11" ht="15" x14ac:dyDescent="0.2">
      <c r="A792" s="50" t="s">
        <v>628</v>
      </c>
      <c r="B792" s="51" t="s">
        <v>313</v>
      </c>
      <c r="C792" s="60"/>
      <c r="D792" s="58" t="s">
        <v>577</v>
      </c>
      <c r="E792" s="53">
        <v>24</v>
      </c>
      <c r="F792" s="9">
        <v>7.04</v>
      </c>
      <c r="G792" s="82">
        <v>8.17</v>
      </c>
      <c r="H792" s="54">
        <f t="shared" si="41"/>
        <v>196.07999999999998</v>
      </c>
      <c r="I792" s="55">
        <v>0</v>
      </c>
      <c r="J792" s="56">
        <f t="shared" si="42"/>
        <v>196.07999999999998</v>
      </c>
      <c r="K792" s="57">
        <f t="shared" si="44"/>
        <v>168.96</v>
      </c>
    </row>
    <row r="793" spans="1:11" ht="15" x14ac:dyDescent="0.2">
      <c r="A793" s="50" t="s">
        <v>628</v>
      </c>
      <c r="B793" s="51" t="s">
        <v>326</v>
      </c>
      <c r="C793" s="60"/>
      <c r="D793" s="58" t="s">
        <v>626</v>
      </c>
      <c r="E793" s="53">
        <v>24</v>
      </c>
      <c r="F793" s="9">
        <v>7.04</v>
      </c>
      <c r="G793" s="82">
        <v>8.17</v>
      </c>
      <c r="H793" s="54">
        <f t="shared" si="41"/>
        <v>196.07999999999998</v>
      </c>
      <c r="I793" s="55">
        <v>0</v>
      </c>
      <c r="J793" s="56">
        <f t="shared" si="42"/>
        <v>196.07999999999998</v>
      </c>
      <c r="K793" s="57">
        <f t="shared" si="44"/>
        <v>168.96</v>
      </c>
    </row>
    <row r="794" spans="1:11" ht="15" x14ac:dyDescent="0.2">
      <c r="A794" s="50" t="s">
        <v>628</v>
      </c>
      <c r="B794" s="51" t="s">
        <v>317</v>
      </c>
      <c r="C794" s="60"/>
      <c r="D794" s="58" t="s">
        <v>580</v>
      </c>
      <c r="E794" s="53">
        <v>36</v>
      </c>
      <c r="F794" s="9">
        <v>59.17</v>
      </c>
      <c r="G794" s="82">
        <v>61</v>
      </c>
      <c r="H794" s="54">
        <f t="shared" si="41"/>
        <v>2196</v>
      </c>
      <c r="I794" s="55">
        <v>0.24</v>
      </c>
      <c r="J794" s="56">
        <f t="shared" si="42"/>
        <v>2195.7600000000002</v>
      </c>
      <c r="K794" s="57">
        <f t="shared" si="44"/>
        <v>2130.12</v>
      </c>
    </row>
    <row r="795" spans="1:11" ht="15" x14ac:dyDescent="0.2">
      <c r="A795" s="50" t="s">
        <v>628</v>
      </c>
      <c r="B795" s="51" t="s">
        <v>329</v>
      </c>
      <c r="C795" s="60" t="s">
        <v>666</v>
      </c>
      <c r="D795" s="58" t="s">
        <v>578</v>
      </c>
      <c r="E795" s="53">
        <v>12</v>
      </c>
      <c r="F795" s="9">
        <v>21.33</v>
      </c>
      <c r="G795" s="82">
        <v>23.58</v>
      </c>
      <c r="H795" s="54">
        <f t="shared" si="41"/>
        <v>282.95999999999998</v>
      </c>
      <c r="I795" s="55">
        <v>0</v>
      </c>
      <c r="J795" s="56">
        <f t="shared" si="42"/>
        <v>282.95999999999998</v>
      </c>
      <c r="K795" s="57">
        <f t="shared" ref="K795:K801" si="45">E795*F795</f>
        <v>255.95999999999998</v>
      </c>
    </row>
    <row r="796" spans="1:11" ht="15" x14ac:dyDescent="0.2">
      <c r="A796" s="50" t="s">
        <v>628</v>
      </c>
      <c r="B796" s="51" t="s">
        <v>325</v>
      </c>
      <c r="C796" s="60"/>
      <c r="D796" s="58" t="s">
        <v>579</v>
      </c>
      <c r="E796" s="53">
        <v>12</v>
      </c>
      <c r="F796" s="9">
        <v>21.33</v>
      </c>
      <c r="G796" s="82">
        <v>23.58</v>
      </c>
      <c r="H796" s="54">
        <f t="shared" si="41"/>
        <v>282.95999999999998</v>
      </c>
      <c r="I796" s="55">
        <v>0</v>
      </c>
      <c r="J796" s="56">
        <f t="shared" si="42"/>
        <v>282.95999999999998</v>
      </c>
      <c r="K796" s="57">
        <f t="shared" si="45"/>
        <v>255.95999999999998</v>
      </c>
    </row>
    <row r="797" spans="1:11" ht="15" x14ac:dyDescent="0.2">
      <c r="A797" s="50" t="s">
        <v>628</v>
      </c>
      <c r="B797" s="51" t="s">
        <v>313</v>
      </c>
      <c r="C797" s="60"/>
      <c r="D797" s="58" t="s">
        <v>577</v>
      </c>
      <c r="E797" s="53">
        <v>12</v>
      </c>
      <c r="F797" s="9">
        <v>7.04</v>
      </c>
      <c r="G797" s="82">
        <v>8.17</v>
      </c>
      <c r="H797" s="54">
        <f t="shared" si="41"/>
        <v>98.039999999999992</v>
      </c>
      <c r="I797" s="55">
        <v>0</v>
      </c>
      <c r="J797" s="56">
        <f t="shared" si="42"/>
        <v>98.039999999999992</v>
      </c>
      <c r="K797" s="57">
        <f t="shared" si="45"/>
        <v>84.48</v>
      </c>
    </row>
    <row r="798" spans="1:11" ht="15" x14ac:dyDescent="0.2">
      <c r="A798" s="50" t="s">
        <v>628</v>
      </c>
      <c r="B798" s="51" t="s">
        <v>326</v>
      </c>
      <c r="C798" s="60"/>
      <c r="D798" s="58" t="s">
        <v>626</v>
      </c>
      <c r="E798" s="53">
        <v>12</v>
      </c>
      <c r="F798" s="9">
        <v>7.04</v>
      </c>
      <c r="G798" s="82">
        <v>8.17</v>
      </c>
      <c r="H798" s="54">
        <f t="shared" si="41"/>
        <v>98.039999999999992</v>
      </c>
      <c r="I798" s="55">
        <v>0</v>
      </c>
      <c r="J798" s="56">
        <f t="shared" si="42"/>
        <v>98.039999999999992</v>
      </c>
      <c r="K798" s="57">
        <f t="shared" si="45"/>
        <v>84.48</v>
      </c>
    </row>
    <row r="799" spans="1:11" ht="15" x14ac:dyDescent="0.2">
      <c r="A799" s="50" t="s">
        <v>628</v>
      </c>
      <c r="B799" s="51" t="s">
        <v>316</v>
      </c>
      <c r="C799" s="60"/>
      <c r="D799" s="58" t="s">
        <v>572</v>
      </c>
      <c r="E799" s="53">
        <v>24</v>
      </c>
      <c r="F799" s="9">
        <v>15.92</v>
      </c>
      <c r="G799" s="82">
        <v>16.329999999999998</v>
      </c>
      <c r="H799" s="54">
        <f t="shared" si="41"/>
        <v>391.91999999999996</v>
      </c>
      <c r="I799" s="55">
        <v>0</v>
      </c>
      <c r="J799" s="56">
        <f t="shared" si="42"/>
        <v>391.91999999999996</v>
      </c>
      <c r="K799" s="57">
        <f t="shared" si="45"/>
        <v>382.08</v>
      </c>
    </row>
    <row r="800" spans="1:11" ht="15" x14ac:dyDescent="0.2">
      <c r="A800" s="50" t="s">
        <v>628</v>
      </c>
      <c r="B800" s="51" t="s">
        <v>334</v>
      </c>
      <c r="C800" s="60"/>
      <c r="D800" s="58" t="s">
        <v>648</v>
      </c>
      <c r="E800" s="53">
        <v>24</v>
      </c>
      <c r="F800" s="9">
        <v>6.88</v>
      </c>
      <c r="G800" s="82">
        <v>8.17</v>
      </c>
      <c r="H800" s="54">
        <f t="shared" si="41"/>
        <v>196.07999999999998</v>
      </c>
      <c r="I800" s="55">
        <v>0</v>
      </c>
      <c r="J800" s="56">
        <f t="shared" si="42"/>
        <v>196.07999999999998</v>
      </c>
      <c r="K800" s="57">
        <f t="shared" si="45"/>
        <v>165.12</v>
      </c>
    </row>
    <row r="801" spans="1:11" ht="15" x14ac:dyDescent="0.2">
      <c r="A801" s="50" t="s">
        <v>628</v>
      </c>
      <c r="B801" s="51" t="s">
        <v>328</v>
      </c>
      <c r="C801" s="60"/>
      <c r="D801" s="58" t="s">
        <v>647</v>
      </c>
      <c r="E801" s="53">
        <v>6</v>
      </c>
      <c r="F801" s="9">
        <v>59.17</v>
      </c>
      <c r="G801" s="82">
        <v>61</v>
      </c>
      <c r="H801" s="54">
        <f t="shared" si="41"/>
        <v>366</v>
      </c>
      <c r="I801" s="55">
        <v>0</v>
      </c>
      <c r="J801" s="56">
        <f t="shared" si="42"/>
        <v>366</v>
      </c>
      <c r="K801" s="57">
        <f t="shared" si="45"/>
        <v>355.02</v>
      </c>
    </row>
    <row r="802" spans="1:11" ht="15" x14ac:dyDescent="0.2">
      <c r="A802" s="50" t="s">
        <v>628</v>
      </c>
      <c r="B802" s="51" t="s">
        <v>319</v>
      </c>
      <c r="C802" s="60" t="s">
        <v>667</v>
      </c>
      <c r="D802" s="58" t="s">
        <v>576</v>
      </c>
      <c r="E802" s="53">
        <v>12</v>
      </c>
      <c r="F802" s="9">
        <v>11.58</v>
      </c>
      <c r="G802" s="82">
        <v>12</v>
      </c>
      <c r="H802" s="54">
        <f t="shared" si="41"/>
        <v>144</v>
      </c>
      <c r="I802" s="55">
        <v>0</v>
      </c>
      <c r="J802" s="56">
        <f t="shared" si="42"/>
        <v>144</v>
      </c>
      <c r="K802" s="57">
        <f t="shared" ref="K802:K817" si="46">E802*F802</f>
        <v>138.96</v>
      </c>
    </row>
    <row r="803" spans="1:11" ht="15" x14ac:dyDescent="0.2">
      <c r="A803" s="50" t="s">
        <v>628</v>
      </c>
      <c r="B803" s="51" t="s">
        <v>320</v>
      </c>
      <c r="C803" s="60"/>
      <c r="D803" s="58" t="s">
        <v>585</v>
      </c>
      <c r="E803" s="53">
        <v>12</v>
      </c>
      <c r="F803" s="9">
        <v>11.58</v>
      </c>
      <c r="G803" s="82">
        <v>12</v>
      </c>
      <c r="H803" s="54">
        <f t="shared" si="41"/>
        <v>144</v>
      </c>
      <c r="I803" s="55">
        <v>0</v>
      </c>
      <c r="J803" s="56">
        <f t="shared" si="42"/>
        <v>144</v>
      </c>
      <c r="K803" s="57">
        <f t="shared" si="46"/>
        <v>138.96</v>
      </c>
    </row>
    <row r="804" spans="1:11" ht="15" x14ac:dyDescent="0.2">
      <c r="A804" s="50" t="s">
        <v>628</v>
      </c>
      <c r="B804" s="51" t="s">
        <v>336</v>
      </c>
      <c r="C804" s="60"/>
      <c r="D804" s="58" t="s">
        <v>627</v>
      </c>
      <c r="E804" s="53">
        <v>12</v>
      </c>
      <c r="F804" s="9">
        <v>11.58</v>
      </c>
      <c r="G804" s="82">
        <v>12</v>
      </c>
      <c r="H804" s="54">
        <f t="shared" si="41"/>
        <v>144</v>
      </c>
      <c r="I804" s="55">
        <v>0</v>
      </c>
      <c r="J804" s="56">
        <f t="shared" si="42"/>
        <v>144</v>
      </c>
      <c r="K804" s="57">
        <f t="shared" si="46"/>
        <v>138.96</v>
      </c>
    </row>
    <row r="805" spans="1:11" ht="15" x14ac:dyDescent="0.2">
      <c r="A805" s="50" t="s">
        <v>628</v>
      </c>
      <c r="B805" s="51" t="s">
        <v>317</v>
      </c>
      <c r="C805" s="60" t="s">
        <v>668</v>
      </c>
      <c r="D805" s="58" t="s">
        <v>580</v>
      </c>
      <c r="E805" s="53">
        <v>24</v>
      </c>
      <c r="F805" s="9">
        <v>59.17</v>
      </c>
      <c r="G805" s="82">
        <v>61</v>
      </c>
      <c r="H805" s="54">
        <f t="shared" si="41"/>
        <v>1464</v>
      </c>
      <c r="I805" s="55">
        <v>0</v>
      </c>
      <c r="J805" s="56">
        <f t="shared" si="42"/>
        <v>1464</v>
      </c>
      <c r="K805" s="57">
        <f t="shared" si="46"/>
        <v>1420.08</v>
      </c>
    </row>
    <row r="806" spans="1:11" ht="15" x14ac:dyDescent="0.2">
      <c r="A806" s="50" t="s">
        <v>628</v>
      </c>
      <c r="B806" s="51" t="s">
        <v>316</v>
      </c>
      <c r="C806" s="60"/>
      <c r="D806" s="58" t="s">
        <v>572</v>
      </c>
      <c r="E806" s="53">
        <v>84</v>
      </c>
      <c r="F806" s="9">
        <v>15.92</v>
      </c>
      <c r="G806" s="82">
        <v>16.329999999999998</v>
      </c>
      <c r="H806" s="54">
        <f t="shared" si="41"/>
        <v>1371.7199999999998</v>
      </c>
      <c r="I806" s="55">
        <v>0</v>
      </c>
      <c r="J806" s="56">
        <f t="shared" si="42"/>
        <v>1371.7199999999998</v>
      </c>
      <c r="K806" s="57">
        <f t="shared" si="46"/>
        <v>1337.28</v>
      </c>
    </row>
    <row r="807" spans="1:11" ht="15" x14ac:dyDescent="0.2">
      <c r="A807" s="50" t="s">
        <v>628</v>
      </c>
      <c r="B807" s="51" t="s">
        <v>316</v>
      </c>
      <c r="C807" s="60" t="s">
        <v>669</v>
      </c>
      <c r="D807" s="58" t="s">
        <v>572</v>
      </c>
      <c r="E807" s="53">
        <v>12</v>
      </c>
      <c r="F807" s="9">
        <v>15.92</v>
      </c>
      <c r="G807" s="82">
        <v>16.329999999999998</v>
      </c>
      <c r="H807" s="54">
        <f t="shared" si="41"/>
        <v>195.95999999999998</v>
      </c>
      <c r="I807" s="55">
        <v>0</v>
      </c>
      <c r="J807" s="56">
        <f t="shared" si="42"/>
        <v>195.95999999999998</v>
      </c>
      <c r="K807" s="57">
        <f t="shared" si="46"/>
        <v>191.04</v>
      </c>
    </row>
    <row r="808" spans="1:11" ht="15" x14ac:dyDescent="0.2">
      <c r="A808" s="50" t="s">
        <v>628</v>
      </c>
      <c r="B808" s="51" t="s">
        <v>323</v>
      </c>
      <c r="C808" s="60"/>
      <c r="D808" s="58" t="s">
        <v>574</v>
      </c>
      <c r="E808" s="53">
        <v>12</v>
      </c>
      <c r="F808" s="9">
        <v>15.92</v>
      </c>
      <c r="G808" s="82">
        <v>16.329999999999998</v>
      </c>
      <c r="H808" s="54">
        <f t="shared" si="41"/>
        <v>195.95999999999998</v>
      </c>
      <c r="I808" s="55">
        <v>0</v>
      </c>
      <c r="J808" s="56">
        <f t="shared" si="42"/>
        <v>195.95999999999998</v>
      </c>
      <c r="K808" s="57">
        <f t="shared" si="46"/>
        <v>191.04</v>
      </c>
    </row>
    <row r="809" spans="1:11" ht="15" x14ac:dyDescent="0.2">
      <c r="A809" s="50" t="s">
        <v>628</v>
      </c>
      <c r="B809" s="51" t="s">
        <v>316</v>
      </c>
      <c r="C809" s="60" t="s">
        <v>670</v>
      </c>
      <c r="D809" s="58" t="s">
        <v>572</v>
      </c>
      <c r="E809" s="53">
        <v>240</v>
      </c>
      <c r="F809" s="9">
        <v>15.92</v>
      </c>
      <c r="G809" s="82">
        <v>16.329999999999998</v>
      </c>
      <c r="H809" s="54">
        <f t="shared" si="41"/>
        <v>3919.2</v>
      </c>
      <c r="I809" s="55">
        <v>0</v>
      </c>
      <c r="J809" s="56">
        <f t="shared" si="42"/>
        <v>3919.2</v>
      </c>
      <c r="K809" s="57">
        <f t="shared" si="46"/>
        <v>3820.8</v>
      </c>
    </row>
    <row r="810" spans="1:11" ht="15" x14ac:dyDescent="0.2">
      <c r="A810" s="50" t="s">
        <v>628</v>
      </c>
      <c r="B810" s="51" t="s">
        <v>319</v>
      </c>
      <c r="C810" s="60"/>
      <c r="D810" s="58" t="s">
        <v>576</v>
      </c>
      <c r="E810" s="53">
        <v>180</v>
      </c>
      <c r="F810" s="9">
        <v>11.58</v>
      </c>
      <c r="G810" s="82">
        <v>12</v>
      </c>
      <c r="H810" s="54">
        <f t="shared" si="41"/>
        <v>2160</v>
      </c>
      <c r="I810" s="55">
        <v>0</v>
      </c>
      <c r="J810" s="56">
        <f t="shared" si="42"/>
        <v>2160</v>
      </c>
      <c r="K810" s="57">
        <f t="shared" si="46"/>
        <v>2084.4</v>
      </c>
    </row>
    <row r="811" spans="1:11" ht="15" x14ac:dyDescent="0.2">
      <c r="A811" s="50" t="s">
        <v>628</v>
      </c>
      <c r="B811" s="51" t="s">
        <v>320</v>
      </c>
      <c r="C811" s="60"/>
      <c r="D811" s="58" t="s">
        <v>585</v>
      </c>
      <c r="E811" s="53">
        <v>120</v>
      </c>
      <c r="F811" s="9">
        <v>11.58</v>
      </c>
      <c r="G811" s="82">
        <v>12</v>
      </c>
      <c r="H811" s="54">
        <f t="shared" si="41"/>
        <v>1440</v>
      </c>
      <c r="I811" s="55">
        <v>0</v>
      </c>
      <c r="J811" s="56">
        <f t="shared" si="42"/>
        <v>1440</v>
      </c>
      <c r="K811" s="57">
        <f t="shared" si="46"/>
        <v>1389.6</v>
      </c>
    </row>
    <row r="812" spans="1:11" ht="15" x14ac:dyDescent="0.2">
      <c r="A812" s="50" t="s">
        <v>628</v>
      </c>
      <c r="B812" s="51" t="s">
        <v>336</v>
      </c>
      <c r="C812" s="60"/>
      <c r="D812" s="58" t="s">
        <v>627</v>
      </c>
      <c r="E812" s="53">
        <v>120</v>
      </c>
      <c r="F812" s="9">
        <v>11.58</v>
      </c>
      <c r="G812" s="82">
        <v>12</v>
      </c>
      <c r="H812" s="54">
        <f t="shared" si="41"/>
        <v>1440</v>
      </c>
      <c r="I812" s="55">
        <v>0</v>
      </c>
      <c r="J812" s="56">
        <f t="shared" si="42"/>
        <v>1440</v>
      </c>
      <c r="K812" s="57">
        <f t="shared" si="46"/>
        <v>1389.6</v>
      </c>
    </row>
    <row r="813" spans="1:11" ht="15" x14ac:dyDescent="0.2">
      <c r="A813" s="50" t="s">
        <v>628</v>
      </c>
      <c r="B813" s="51" t="s">
        <v>318</v>
      </c>
      <c r="C813" s="60"/>
      <c r="D813" s="58" t="s">
        <v>581</v>
      </c>
      <c r="E813" s="53">
        <v>7</v>
      </c>
      <c r="F813" s="9">
        <v>59.17</v>
      </c>
      <c r="G813" s="82">
        <v>61</v>
      </c>
      <c r="H813" s="54">
        <f t="shared" si="41"/>
        <v>427</v>
      </c>
      <c r="I813" s="55">
        <v>0</v>
      </c>
      <c r="J813" s="56">
        <f t="shared" si="42"/>
        <v>427</v>
      </c>
      <c r="K813" s="57">
        <f t="shared" si="46"/>
        <v>414.19</v>
      </c>
    </row>
    <row r="814" spans="1:11" ht="15" x14ac:dyDescent="0.2">
      <c r="A814" s="50" t="s">
        <v>628</v>
      </c>
      <c r="B814" s="51" t="s">
        <v>317</v>
      </c>
      <c r="C814" s="60"/>
      <c r="D814" s="58" t="s">
        <v>580</v>
      </c>
      <c r="E814" s="53">
        <v>62</v>
      </c>
      <c r="F814" s="9">
        <v>59.17</v>
      </c>
      <c r="G814" s="82">
        <v>61</v>
      </c>
      <c r="H814" s="54">
        <f t="shared" si="41"/>
        <v>3782</v>
      </c>
      <c r="I814" s="55">
        <v>0</v>
      </c>
      <c r="J814" s="56">
        <f t="shared" si="42"/>
        <v>3782</v>
      </c>
      <c r="K814" s="57">
        <f t="shared" si="46"/>
        <v>3668.54</v>
      </c>
    </row>
    <row r="815" spans="1:11" ht="15" x14ac:dyDescent="0.2">
      <c r="A815" s="50" t="s">
        <v>628</v>
      </c>
      <c r="B815" s="51" t="s">
        <v>328</v>
      </c>
      <c r="C815" s="60"/>
      <c r="D815" s="58" t="s">
        <v>647</v>
      </c>
      <c r="E815" s="53">
        <v>15</v>
      </c>
      <c r="F815" s="9">
        <v>59.17</v>
      </c>
      <c r="G815" s="82">
        <v>61</v>
      </c>
      <c r="H815" s="54">
        <f t="shared" si="41"/>
        <v>915</v>
      </c>
      <c r="I815" s="55">
        <v>0</v>
      </c>
      <c r="J815" s="56">
        <f t="shared" si="42"/>
        <v>915</v>
      </c>
      <c r="K815" s="57">
        <f t="shared" si="46"/>
        <v>887.55000000000007</v>
      </c>
    </row>
    <row r="816" spans="1:11" ht="15" x14ac:dyDescent="0.2">
      <c r="A816" s="50" t="s">
        <v>628</v>
      </c>
      <c r="B816" s="51" t="s">
        <v>329</v>
      </c>
      <c r="C816" s="60"/>
      <c r="D816" s="58" t="s">
        <v>578</v>
      </c>
      <c r="E816" s="53">
        <v>36</v>
      </c>
      <c r="F816" s="9">
        <v>21.33</v>
      </c>
      <c r="G816" s="82">
        <v>23.58</v>
      </c>
      <c r="H816" s="54">
        <f t="shared" si="41"/>
        <v>848.87999999999988</v>
      </c>
      <c r="I816" s="55">
        <v>0</v>
      </c>
      <c r="J816" s="56">
        <f t="shared" si="42"/>
        <v>848.87999999999988</v>
      </c>
      <c r="K816" s="57">
        <f t="shared" si="46"/>
        <v>767.87999999999988</v>
      </c>
    </row>
    <row r="817" spans="1:13" ht="15" x14ac:dyDescent="0.2">
      <c r="A817" s="50" t="s">
        <v>628</v>
      </c>
      <c r="B817" s="51" t="s">
        <v>325</v>
      </c>
      <c r="C817" s="60"/>
      <c r="D817" s="58" t="s">
        <v>579</v>
      </c>
      <c r="E817" s="53">
        <v>24</v>
      </c>
      <c r="F817" s="9">
        <v>21.33</v>
      </c>
      <c r="G817" s="82">
        <v>23.58</v>
      </c>
      <c r="H817" s="54">
        <f t="shared" si="41"/>
        <v>565.91999999999996</v>
      </c>
      <c r="I817" s="55">
        <v>0</v>
      </c>
      <c r="J817" s="56">
        <f t="shared" si="42"/>
        <v>565.91999999999996</v>
      </c>
      <c r="K817" s="57">
        <f t="shared" si="46"/>
        <v>511.91999999999996</v>
      </c>
      <c r="L817" s="2">
        <v>55105.58</v>
      </c>
      <c r="M817" s="2">
        <v>55105.58</v>
      </c>
    </row>
    <row r="818" spans="1:13" ht="15" x14ac:dyDescent="0.2">
      <c r="A818" s="50" t="s">
        <v>671</v>
      </c>
      <c r="B818" s="51" t="s">
        <v>335</v>
      </c>
      <c r="C818" s="60" t="s">
        <v>686</v>
      </c>
      <c r="D818" s="58" t="s">
        <v>575</v>
      </c>
      <c r="E818" s="53">
        <v>48</v>
      </c>
      <c r="F818" s="9">
        <v>7.04</v>
      </c>
      <c r="G818" s="10">
        <v>8.17</v>
      </c>
      <c r="H818" s="54">
        <f t="shared" si="41"/>
        <v>392.15999999999997</v>
      </c>
      <c r="I818" s="55">
        <v>0</v>
      </c>
      <c r="J818" s="56">
        <f t="shared" si="42"/>
        <v>392.15999999999997</v>
      </c>
      <c r="K818" s="57">
        <f t="shared" si="40"/>
        <v>337.92</v>
      </c>
    </row>
    <row r="819" spans="1:13" ht="15" x14ac:dyDescent="0.2">
      <c r="A819" s="50" t="s">
        <v>671</v>
      </c>
      <c r="B819" s="51" t="s">
        <v>319</v>
      </c>
      <c r="C819" s="60" t="s">
        <v>687</v>
      </c>
      <c r="D819" s="58" t="s">
        <v>576</v>
      </c>
      <c r="E819" s="53">
        <v>36</v>
      </c>
      <c r="F819" s="9">
        <v>11.58</v>
      </c>
      <c r="G819" s="10">
        <v>12</v>
      </c>
      <c r="H819" s="54">
        <f t="shared" si="41"/>
        <v>432</v>
      </c>
      <c r="I819" s="55">
        <v>0</v>
      </c>
      <c r="J819" s="56">
        <f t="shared" si="42"/>
        <v>432</v>
      </c>
      <c r="K819" s="57">
        <f t="shared" ref="K819:K844" si="47">E819*F819</f>
        <v>416.88</v>
      </c>
    </row>
    <row r="820" spans="1:13" ht="15" x14ac:dyDescent="0.2">
      <c r="A820" s="50" t="s">
        <v>671</v>
      </c>
      <c r="B820" s="51" t="s">
        <v>331</v>
      </c>
      <c r="C820" s="60" t="s">
        <v>688</v>
      </c>
      <c r="D820" s="58" t="s">
        <v>473</v>
      </c>
      <c r="E820" s="53">
        <v>24</v>
      </c>
      <c r="F820" s="9">
        <v>8.7100000000000009</v>
      </c>
      <c r="G820" s="10">
        <v>9.58</v>
      </c>
      <c r="H820" s="54">
        <f t="shared" si="41"/>
        <v>229.92000000000002</v>
      </c>
      <c r="I820" s="55">
        <v>4.92</v>
      </c>
      <c r="J820" s="56">
        <f t="shared" si="42"/>
        <v>225.00000000000003</v>
      </c>
      <c r="K820" s="57">
        <f t="shared" si="47"/>
        <v>209.04000000000002</v>
      </c>
    </row>
    <row r="821" spans="1:13" ht="15" x14ac:dyDescent="0.2">
      <c r="A821" s="50" t="s">
        <v>671</v>
      </c>
      <c r="B821" s="51" t="s">
        <v>335</v>
      </c>
      <c r="C821" s="60" t="s">
        <v>689</v>
      </c>
      <c r="D821" s="58" t="s">
        <v>575</v>
      </c>
      <c r="E821" s="53">
        <v>144</v>
      </c>
      <c r="F821" s="9">
        <v>7.04</v>
      </c>
      <c r="G821" s="10">
        <v>8.17</v>
      </c>
      <c r="H821" s="54">
        <f t="shared" si="41"/>
        <v>1176.48</v>
      </c>
      <c r="I821" s="55">
        <v>0</v>
      </c>
      <c r="J821" s="56">
        <f t="shared" si="42"/>
        <v>1176.48</v>
      </c>
      <c r="K821" s="57">
        <f t="shared" si="47"/>
        <v>1013.76</v>
      </c>
    </row>
    <row r="822" spans="1:13" ht="15" x14ac:dyDescent="0.2">
      <c r="A822" s="50" t="s">
        <v>671</v>
      </c>
      <c r="B822" s="51" t="s">
        <v>313</v>
      </c>
      <c r="C822" s="60"/>
      <c r="D822" s="58" t="s">
        <v>577</v>
      </c>
      <c r="E822" s="53">
        <v>24</v>
      </c>
      <c r="F822" s="9">
        <v>7.04</v>
      </c>
      <c r="G822" s="10">
        <v>8.17</v>
      </c>
      <c r="H822" s="54">
        <f t="shared" si="41"/>
        <v>196.07999999999998</v>
      </c>
      <c r="I822" s="55">
        <v>0</v>
      </c>
      <c r="J822" s="56">
        <f t="shared" si="42"/>
        <v>196.07999999999998</v>
      </c>
      <c r="K822" s="57">
        <f t="shared" si="47"/>
        <v>168.96</v>
      </c>
    </row>
    <row r="823" spans="1:13" ht="15" x14ac:dyDescent="0.2">
      <c r="A823" s="50" t="s">
        <v>671</v>
      </c>
      <c r="B823" s="51" t="s">
        <v>326</v>
      </c>
      <c r="C823" s="60"/>
      <c r="D823" s="58" t="s">
        <v>626</v>
      </c>
      <c r="E823" s="53">
        <v>24</v>
      </c>
      <c r="F823" s="9">
        <v>7.04</v>
      </c>
      <c r="G823" s="10">
        <v>8.17</v>
      </c>
      <c r="H823" s="54">
        <f t="shared" si="41"/>
        <v>196.07999999999998</v>
      </c>
      <c r="I823" s="55">
        <v>0</v>
      </c>
      <c r="J823" s="56">
        <f t="shared" si="42"/>
        <v>196.07999999999998</v>
      </c>
      <c r="K823" s="57">
        <f t="shared" si="47"/>
        <v>168.96</v>
      </c>
    </row>
    <row r="824" spans="1:13" ht="15" x14ac:dyDescent="0.2">
      <c r="A824" s="50" t="s">
        <v>671</v>
      </c>
      <c r="B824" s="51" t="s">
        <v>335</v>
      </c>
      <c r="C824" s="60" t="s">
        <v>690</v>
      </c>
      <c r="D824" s="58" t="s">
        <v>575</v>
      </c>
      <c r="E824" s="53">
        <v>24</v>
      </c>
      <c r="F824" s="9">
        <v>7.04</v>
      </c>
      <c r="G824" s="10">
        <v>8.17</v>
      </c>
      <c r="H824" s="54">
        <f t="shared" si="41"/>
        <v>196.07999999999998</v>
      </c>
      <c r="I824" s="55">
        <v>0</v>
      </c>
      <c r="J824" s="56">
        <f t="shared" si="42"/>
        <v>196.07999999999998</v>
      </c>
      <c r="K824" s="57">
        <f t="shared" si="47"/>
        <v>168.96</v>
      </c>
    </row>
    <row r="825" spans="1:13" ht="15" x14ac:dyDescent="0.2">
      <c r="A825" s="50" t="s">
        <v>671</v>
      </c>
      <c r="B825" s="51" t="s">
        <v>317</v>
      </c>
      <c r="C825" s="60" t="s">
        <v>691</v>
      </c>
      <c r="D825" s="58" t="s">
        <v>580</v>
      </c>
      <c r="E825" s="53">
        <v>1</v>
      </c>
      <c r="F825" s="9">
        <v>59.17</v>
      </c>
      <c r="G825" s="10">
        <v>61</v>
      </c>
      <c r="H825" s="54">
        <f t="shared" si="41"/>
        <v>61</v>
      </c>
      <c r="I825" s="55">
        <v>0</v>
      </c>
      <c r="J825" s="56">
        <f t="shared" si="42"/>
        <v>61</v>
      </c>
      <c r="K825" s="57">
        <f t="shared" si="47"/>
        <v>59.17</v>
      </c>
    </row>
    <row r="826" spans="1:13" ht="15" x14ac:dyDescent="0.2">
      <c r="A826" s="50" t="s">
        <v>671</v>
      </c>
      <c r="B826" s="51" t="s">
        <v>685</v>
      </c>
      <c r="C826" s="60" t="s">
        <v>692</v>
      </c>
      <c r="D826" s="58" t="s">
        <v>710</v>
      </c>
      <c r="E826" s="53">
        <v>12</v>
      </c>
      <c r="F826" s="9">
        <v>6.54</v>
      </c>
      <c r="G826" s="10">
        <v>7.25</v>
      </c>
      <c r="H826" s="54">
        <f t="shared" si="41"/>
        <v>87</v>
      </c>
      <c r="I826" s="55">
        <v>0</v>
      </c>
      <c r="J826" s="56">
        <f t="shared" si="42"/>
        <v>87</v>
      </c>
      <c r="K826" s="57">
        <f t="shared" si="47"/>
        <v>78.48</v>
      </c>
    </row>
    <row r="827" spans="1:13" ht="15" x14ac:dyDescent="0.2">
      <c r="A827" s="50" t="s">
        <v>671</v>
      </c>
      <c r="B827" s="51" t="s">
        <v>317</v>
      </c>
      <c r="C827" s="60" t="s">
        <v>693</v>
      </c>
      <c r="D827" s="58" t="s">
        <v>580</v>
      </c>
      <c r="E827" s="53">
        <v>60</v>
      </c>
      <c r="F827" s="9">
        <v>59.17</v>
      </c>
      <c r="G827" s="10">
        <v>61</v>
      </c>
      <c r="H827" s="54">
        <f t="shared" si="41"/>
        <v>3660</v>
      </c>
      <c r="I827" s="55">
        <v>0</v>
      </c>
      <c r="J827" s="56">
        <f t="shared" si="42"/>
        <v>3660</v>
      </c>
      <c r="K827" s="57">
        <f t="shared" si="47"/>
        <v>3550.2000000000003</v>
      </c>
    </row>
    <row r="828" spans="1:13" ht="15" x14ac:dyDescent="0.2">
      <c r="A828" s="50" t="s">
        <v>671</v>
      </c>
      <c r="B828" s="51" t="s">
        <v>328</v>
      </c>
      <c r="C828" s="60"/>
      <c r="D828" s="58" t="s">
        <v>647</v>
      </c>
      <c r="E828" s="53">
        <v>12</v>
      </c>
      <c r="F828" s="9">
        <v>59.17</v>
      </c>
      <c r="G828" s="10">
        <v>61</v>
      </c>
      <c r="H828" s="54">
        <f t="shared" si="41"/>
        <v>732</v>
      </c>
      <c r="I828" s="55">
        <v>0</v>
      </c>
      <c r="J828" s="56">
        <f t="shared" si="42"/>
        <v>732</v>
      </c>
      <c r="K828" s="57">
        <f t="shared" si="47"/>
        <v>710.04</v>
      </c>
    </row>
    <row r="829" spans="1:13" ht="15" x14ac:dyDescent="0.2">
      <c r="A829" s="50" t="s">
        <v>671</v>
      </c>
      <c r="B829" s="51" t="s">
        <v>316</v>
      </c>
      <c r="C829" s="60"/>
      <c r="D829" s="58" t="s">
        <v>572</v>
      </c>
      <c r="E829" s="53">
        <v>60</v>
      </c>
      <c r="F829" s="9">
        <v>15.92</v>
      </c>
      <c r="G829" s="10">
        <v>16.329999999999998</v>
      </c>
      <c r="H829" s="54">
        <f t="shared" si="41"/>
        <v>979.8</v>
      </c>
      <c r="I829" s="55">
        <v>0</v>
      </c>
      <c r="J829" s="56">
        <f t="shared" si="42"/>
        <v>979.8</v>
      </c>
      <c r="K829" s="57">
        <f t="shared" si="47"/>
        <v>955.2</v>
      </c>
    </row>
    <row r="830" spans="1:13" ht="15" x14ac:dyDescent="0.2">
      <c r="A830" s="50" t="s">
        <v>671</v>
      </c>
      <c r="B830" s="51" t="s">
        <v>319</v>
      </c>
      <c r="C830" s="60"/>
      <c r="D830" s="58" t="s">
        <v>576</v>
      </c>
      <c r="E830" s="53">
        <v>60</v>
      </c>
      <c r="F830" s="9">
        <v>11.58</v>
      </c>
      <c r="G830" s="10">
        <v>12</v>
      </c>
      <c r="H830" s="54">
        <f t="shared" si="41"/>
        <v>720</v>
      </c>
      <c r="I830" s="55">
        <v>0</v>
      </c>
      <c r="J830" s="56">
        <f t="shared" si="42"/>
        <v>720</v>
      </c>
      <c r="K830" s="57">
        <f t="shared" si="47"/>
        <v>694.8</v>
      </c>
    </row>
    <row r="831" spans="1:13" ht="15" x14ac:dyDescent="0.2">
      <c r="A831" s="50" t="s">
        <v>671</v>
      </c>
      <c r="B831" s="51" t="s">
        <v>316</v>
      </c>
      <c r="C831" s="60" t="s">
        <v>694</v>
      </c>
      <c r="D831" s="58" t="s">
        <v>572</v>
      </c>
      <c r="E831" s="53">
        <v>480</v>
      </c>
      <c r="F831" s="9">
        <v>15.92</v>
      </c>
      <c r="G831" s="10">
        <v>16.329999999999998</v>
      </c>
      <c r="H831" s="54">
        <f t="shared" si="41"/>
        <v>7838.4</v>
      </c>
      <c r="I831" s="55">
        <v>0</v>
      </c>
      <c r="J831" s="56">
        <f t="shared" si="42"/>
        <v>7838.4</v>
      </c>
      <c r="K831" s="57">
        <f t="shared" si="47"/>
        <v>7641.6</v>
      </c>
    </row>
    <row r="832" spans="1:13" ht="15" x14ac:dyDescent="0.2">
      <c r="A832" s="50" t="s">
        <v>671</v>
      </c>
      <c r="B832" s="51" t="s">
        <v>318</v>
      </c>
      <c r="C832" s="60"/>
      <c r="D832" s="58" t="s">
        <v>581</v>
      </c>
      <c r="E832" s="53">
        <v>24</v>
      </c>
      <c r="F832" s="9">
        <v>59.17</v>
      </c>
      <c r="G832" s="10">
        <v>61</v>
      </c>
      <c r="H832" s="54">
        <f t="shared" si="41"/>
        <v>1464</v>
      </c>
      <c r="I832" s="55">
        <v>0</v>
      </c>
      <c r="J832" s="56">
        <f t="shared" si="42"/>
        <v>1464</v>
      </c>
      <c r="K832" s="57">
        <f t="shared" si="47"/>
        <v>1420.08</v>
      </c>
    </row>
    <row r="833" spans="1:11" ht="15" x14ac:dyDescent="0.2">
      <c r="A833" s="50" t="s">
        <v>671</v>
      </c>
      <c r="B833" s="51" t="s">
        <v>316</v>
      </c>
      <c r="C833" s="60" t="s">
        <v>695</v>
      </c>
      <c r="D833" s="58" t="s">
        <v>572</v>
      </c>
      <c r="E833" s="53">
        <v>12</v>
      </c>
      <c r="F833" s="9">
        <v>15.92</v>
      </c>
      <c r="G833" s="10">
        <v>16.329999999999998</v>
      </c>
      <c r="H833" s="54">
        <f t="shared" si="41"/>
        <v>195.95999999999998</v>
      </c>
      <c r="I833" s="55">
        <v>0</v>
      </c>
      <c r="J833" s="56">
        <f t="shared" si="42"/>
        <v>195.95999999999998</v>
      </c>
      <c r="K833" s="57">
        <f t="shared" si="47"/>
        <v>191.04</v>
      </c>
    </row>
    <row r="834" spans="1:11" ht="15" x14ac:dyDescent="0.2">
      <c r="A834" s="50" t="s">
        <v>671</v>
      </c>
      <c r="B834" s="51" t="s">
        <v>313</v>
      </c>
      <c r="C834" s="60"/>
      <c r="D834" s="58" t="s">
        <v>577</v>
      </c>
      <c r="E834" s="53">
        <v>24</v>
      </c>
      <c r="F834" s="9">
        <v>7.04</v>
      </c>
      <c r="G834" s="10">
        <v>8.17</v>
      </c>
      <c r="H834" s="54">
        <f t="shared" si="41"/>
        <v>196.07999999999998</v>
      </c>
      <c r="I834" s="55">
        <v>0</v>
      </c>
      <c r="J834" s="56">
        <f t="shared" si="42"/>
        <v>196.07999999999998</v>
      </c>
      <c r="K834" s="57">
        <f t="shared" si="47"/>
        <v>168.96</v>
      </c>
    </row>
    <row r="835" spans="1:11" ht="15" x14ac:dyDescent="0.2">
      <c r="A835" s="50" t="s">
        <v>671</v>
      </c>
      <c r="B835" s="51" t="s">
        <v>317</v>
      </c>
      <c r="C835" s="60"/>
      <c r="D835" s="58" t="s">
        <v>580</v>
      </c>
      <c r="E835" s="53">
        <v>3</v>
      </c>
      <c r="F835" s="9">
        <v>59.17</v>
      </c>
      <c r="G835" s="10">
        <v>61</v>
      </c>
      <c r="H835" s="54">
        <f t="shared" si="41"/>
        <v>183</v>
      </c>
      <c r="I835" s="55">
        <v>0.04</v>
      </c>
      <c r="J835" s="56">
        <f t="shared" si="42"/>
        <v>182.96</v>
      </c>
      <c r="K835" s="57">
        <f t="shared" si="47"/>
        <v>177.51</v>
      </c>
    </row>
    <row r="836" spans="1:11" ht="15" x14ac:dyDescent="0.2">
      <c r="A836" s="50" t="s">
        <v>671</v>
      </c>
      <c r="B836" s="51" t="s">
        <v>328</v>
      </c>
      <c r="C836" s="60"/>
      <c r="D836" s="58" t="s">
        <v>647</v>
      </c>
      <c r="E836" s="53">
        <v>3</v>
      </c>
      <c r="F836" s="9">
        <v>59.17</v>
      </c>
      <c r="G836" s="10">
        <v>61</v>
      </c>
      <c r="H836" s="54">
        <f t="shared" si="41"/>
        <v>183</v>
      </c>
      <c r="I836" s="55">
        <v>0</v>
      </c>
      <c r="J836" s="56">
        <f t="shared" si="42"/>
        <v>183</v>
      </c>
      <c r="K836" s="57">
        <f t="shared" si="47"/>
        <v>177.51</v>
      </c>
    </row>
    <row r="837" spans="1:11" ht="15" x14ac:dyDescent="0.2">
      <c r="A837" s="50" t="s">
        <v>671</v>
      </c>
      <c r="B837" s="51" t="s">
        <v>335</v>
      </c>
      <c r="C837" s="60" t="s">
        <v>696</v>
      </c>
      <c r="D837" s="58" t="s">
        <v>575</v>
      </c>
      <c r="E837" s="53">
        <v>12</v>
      </c>
      <c r="F837" s="9">
        <v>7.04</v>
      </c>
      <c r="G837" s="10">
        <v>8.17</v>
      </c>
      <c r="H837" s="54">
        <f t="shared" si="41"/>
        <v>98.039999999999992</v>
      </c>
      <c r="I837" s="55">
        <v>0</v>
      </c>
      <c r="J837" s="56">
        <f t="shared" si="42"/>
        <v>98.039999999999992</v>
      </c>
      <c r="K837" s="57">
        <f t="shared" si="47"/>
        <v>84.48</v>
      </c>
    </row>
    <row r="838" spans="1:11" ht="15" x14ac:dyDescent="0.2">
      <c r="A838" s="50" t="s">
        <v>671</v>
      </c>
      <c r="B838" s="51" t="s">
        <v>313</v>
      </c>
      <c r="C838" s="60"/>
      <c r="D838" s="58" t="s">
        <v>577</v>
      </c>
      <c r="E838" s="53">
        <v>12</v>
      </c>
      <c r="F838" s="9">
        <v>7.04</v>
      </c>
      <c r="G838" s="10">
        <v>8.17</v>
      </c>
      <c r="H838" s="54">
        <f t="shared" si="41"/>
        <v>98.039999999999992</v>
      </c>
      <c r="I838" s="55">
        <v>0</v>
      </c>
      <c r="J838" s="56">
        <f t="shared" si="42"/>
        <v>98.039999999999992</v>
      </c>
      <c r="K838" s="57">
        <f t="shared" si="47"/>
        <v>84.48</v>
      </c>
    </row>
    <row r="839" spans="1:11" ht="15" x14ac:dyDescent="0.2">
      <c r="A839" s="50" t="s">
        <v>671</v>
      </c>
      <c r="B839" s="51" t="s">
        <v>316</v>
      </c>
      <c r="C839" s="60"/>
      <c r="D839" s="58" t="s">
        <v>572</v>
      </c>
      <c r="E839" s="53">
        <v>12</v>
      </c>
      <c r="F839" s="9">
        <v>15.92</v>
      </c>
      <c r="G839" s="10">
        <v>16.329999999999998</v>
      </c>
      <c r="H839" s="54">
        <f t="shared" si="41"/>
        <v>195.95999999999998</v>
      </c>
      <c r="I839" s="55">
        <v>0.04</v>
      </c>
      <c r="J839" s="56">
        <f t="shared" si="42"/>
        <v>195.92</v>
      </c>
      <c r="K839" s="57">
        <f t="shared" si="47"/>
        <v>191.04</v>
      </c>
    </row>
    <row r="840" spans="1:11" ht="15" x14ac:dyDescent="0.2">
      <c r="A840" s="50" t="s">
        <v>671</v>
      </c>
      <c r="B840" s="51" t="s">
        <v>316</v>
      </c>
      <c r="C840" s="60" t="s">
        <v>697</v>
      </c>
      <c r="D840" s="58" t="s">
        <v>572</v>
      </c>
      <c r="E840" s="53">
        <v>60</v>
      </c>
      <c r="F840" s="9">
        <v>15.92</v>
      </c>
      <c r="G840" s="10">
        <v>16.329999999999998</v>
      </c>
      <c r="H840" s="54">
        <f t="shared" si="41"/>
        <v>979.8</v>
      </c>
      <c r="I840" s="55">
        <v>0</v>
      </c>
      <c r="J840" s="56">
        <f t="shared" si="42"/>
        <v>979.8</v>
      </c>
      <c r="K840" s="57">
        <f t="shared" si="47"/>
        <v>955.2</v>
      </c>
    </row>
    <row r="841" spans="1:11" ht="15" x14ac:dyDescent="0.2">
      <c r="A841" s="50" t="s">
        <v>671</v>
      </c>
      <c r="B841" s="51" t="s">
        <v>329</v>
      </c>
      <c r="C841" s="60" t="s">
        <v>698</v>
      </c>
      <c r="D841" s="58" t="s">
        <v>578</v>
      </c>
      <c r="E841" s="53">
        <v>24</v>
      </c>
      <c r="F841" s="9">
        <v>21.33</v>
      </c>
      <c r="G841" s="10">
        <v>23.58</v>
      </c>
      <c r="H841" s="54">
        <f t="shared" si="41"/>
        <v>565.91999999999996</v>
      </c>
      <c r="I841" s="55">
        <v>0</v>
      </c>
      <c r="J841" s="56">
        <f t="shared" si="42"/>
        <v>565.91999999999996</v>
      </c>
      <c r="K841" s="57">
        <f t="shared" si="47"/>
        <v>511.91999999999996</v>
      </c>
    </row>
    <row r="842" spans="1:11" ht="15" x14ac:dyDescent="0.2">
      <c r="A842" s="50" t="s">
        <v>671</v>
      </c>
      <c r="B842" s="51" t="s">
        <v>325</v>
      </c>
      <c r="C842" s="60"/>
      <c r="D842" s="58" t="s">
        <v>579</v>
      </c>
      <c r="E842" s="53">
        <v>12</v>
      </c>
      <c r="F842" s="9">
        <v>21.33</v>
      </c>
      <c r="G842" s="10">
        <v>23.58</v>
      </c>
      <c r="H842" s="54">
        <f t="shared" si="41"/>
        <v>282.95999999999998</v>
      </c>
      <c r="I842" s="55">
        <v>0</v>
      </c>
      <c r="J842" s="56">
        <f t="shared" si="42"/>
        <v>282.95999999999998</v>
      </c>
      <c r="K842" s="57">
        <f t="shared" si="47"/>
        <v>255.95999999999998</v>
      </c>
    </row>
    <row r="843" spans="1:11" ht="15" x14ac:dyDescent="0.2">
      <c r="A843" s="50" t="s">
        <v>671</v>
      </c>
      <c r="B843" s="51" t="s">
        <v>317</v>
      </c>
      <c r="C843" s="60"/>
      <c r="D843" s="58" t="s">
        <v>580</v>
      </c>
      <c r="E843" s="53">
        <v>12</v>
      </c>
      <c r="F843" s="9">
        <v>59.17</v>
      </c>
      <c r="G843" s="10">
        <v>61</v>
      </c>
      <c r="H843" s="54">
        <f t="shared" si="41"/>
        <v>732</v>
      </c>
      <c r="I843" s="55">
        <v>0</v>
      </c>
      <c r="J843" s="56">
        <f t="shared" si="42"/>
        <v>732</v>
      </c>
      <c r="K843" s="57">
        <f t="shared" si="47"/>
        <v>710.04</v>
      </c>
    </row>
    <row r="844" spans="1:11" ht="15" x14ac:dyDescent="0.2">
      <c r="A844" s="50" t="s">
        <v>671</v>
      </c>
      <c r="B844" s="51" t="s">
        <v>335</v>
      </c>
      <c r="C844" s="60"/>
      <c r="D844" s="58" t="s">
        <v>575</v>
      </c>
      <c r="E844" s="53">
        <v>48</v>
      </c>
      <c r="F844" s="9">
        <v>7.04</v>
      </c>
      <c r="G844" s="10">
        <v>8.17</v>
      </c>
      <c r="H844" s="54">
        <f t="shared" si="41"/>
        <v>392.15999999999997</v>
      </c>
      <c r="I844" s="55">
        <v>0</v>
      </c>
      <c r="J844" s="56">
        <f t="shared" si="42"/>
        <v>392.15999999999997</v>
      </c>
      <c r="K844" s="57">
        <f t="shared" si="47"/>
        <v>337.92</v>
      </c>
    </row>
    <row r="845" spans="1:11" ht="15" x14ac:dyDescent="0.2">
      <c r="A845" s="50" t="s">
        <v>671</v>
      </c>
      <c r="B845" s="51" t="s">
        <v>313</v>
      </c>
      <c r="C845" s="60"/>
      <c r="D845" s="58" t="s">
        <v>577</v>
      </c>
      <c r="E845" s="53">
        <v>24</v>
      </c>
      <c r="F845" s="9">
        <v>7.04</v>
      </c>
      <c r="G845" s="10">
        <v>8.17</v>
      </c>
      <c r="H845" s="54">
        <f t="shared" si="41"/>
        <v>196.07999999999998</v>
      </c>
      <c r="I845" s="55">
        <v>0</v>
      </c>
      <c r="J845" s="56">
        <f t="shared" si="42"/>
        <v>196.07999999999998</v>
      </c>
      <c r="K845" s="57">
        <f t="shared" ref="K845:K908" si="48">E845*F845</f>
        <v>168.96</v>
      </c>
    </row>
    <row r="846" spans="1:11" ht="15" x14ac:dyDescent="0.2">
      <c r="A846" s="50" t="s">
        <v>671</v>
      </c>
      <c r="B846" s="51" t="s">
        <v>316</v>
      </c>
      <c r="C846" s="60"/>
      <c r="D846" s="58" t="s">
        <v>572</v>
      </c>
      <c r="E846" s="53">
        <v>120</v>
      </c>
      <c r="F846" s="9">
        <v>15.92</v>
      </c>
      <c r="G846" s="10">
        <v>16.329999999999998</v>
      </c>
      <c r="H846" s="54">
        <f t="shared" si="41"/>
        <v>1959.6</v>
      </c>
      <c r="I846" s="55">
        <v>0</v>
      </c>
      <c r="J846" s="56">
        <f t="shared" si="42"/>
        <v>1959.6</v>
      </c>
      <c r="K846" s="57">
        <f t="shared" si="48"/>
        <v>1910.4</v>
      </c>
    </row>
    <row r="847" spans="1:11" ht="15" x14ac:dyDescent="0.2">
      <c r="A847" s="50" t="s">
        <v>671</v>
      </c>
      <c r="B847" s="51" t="s">
        <v>335</v>
      </c>
      <c r="C847" s="60" t="s">
        <v>699</v>
      </c>
      <c r="D847" s="58" t="s">
        <v>575</v>
      </c>
      <c r="E847" s="53">
        <v>192</v>
      </c>
      <c r="F847" s="9">
        <v>7.04</v>
      </c>
      <c r="G847" s="10">
        <v>8.17</v>
      </c>
      <c r="H847" s="54">
        <f t="shared" si="41"/>
        <v>1568.6399999999999</v>
      </c>
      <c r="I847" s="55">
        <v>0</v>
      </c>
      <c r="J847" s="56">
        <f t="shared" si="42"/>
        <v>1568.6399999999999</v>
      </c>
      <c r="K847" s="57">
        <f t="shared" si="48"/>
        <v>1351.68</v>
      </c>
    </row>
    <row r="848" spans="1:11" ht="15" x14ac:dyDescent="0.2">
      <c r="A848" s="50" t="s">
        <v>671</v>
      </c>
      <c r="B848" s="51" t="s">
        <v>313</v>
      </c>
      <c r="C848" s="60"/>
      <c r="D848" s="58" t="s">
        <v>577</v>
      </c>
      <c r="E848" s="53">
        <v>72</v>
      </c>
      <c r="F848" s="9">
        <v>7.04</v>
      </c>
      <c r="G848" s="10">
        <v>8.17</v>
      </c>
      <c r="H848" s="54">
        <f t="shared" si="41"/>
        <v>588.24</v>
      </c>
      <c r="I848" s="55">
        <v>0</v>
      </c>
      <c r="J848" s="56">
        <f t="shared" si="42"/>
        <v>588.24</v>
      </c>
      <c r="K848" s="57">
        <f t="shared" si="48"/>
        <v>506.88</v>
      </c>
    </row>
    <row r="849" spans="1:11" ht="15" x14ac:dyDescent="0.2">
      <c r="A849" s="50" t="s">
        <v>671</v>
      </c>
      <c r="B849" s="51" t="s">
        <v>326</v>
      </c>
      <c r="C849" s="60"/>
      <c r="D849" s="58" t="s">
        <v>626</v>
      </c>
      <c r="E849" s="53">
        <v>24</v>
      </c>
      <c r="F849" s="9">
        <v>7.04</v>
      </c>
      <c r="G849" s="10">
        <v>8.17</v>
      </c>
      <c r="H849" s="54">
        <f t="shared" si="41"/>
        <v>196.07999999999998</v>
      </c>
      <c r="I849" s="55">
        <v>0</v>
      </c>
      <c r="J849" s="56">
        <f t="shared" si="42"/>
        <v>196.07999999999998</v>
      </c>
      <c r="K849" s="57">
        <f t="shared" si="48"/>
        <v>168.96</v>
      </c>
    </row>
    <row r="850" spans="1:11" ht="15" x14ac:dyDescent="0.2">
      <c r="A850" s="50" t="s">
        <v>671</v>
      </c>
      <c r="B850" s="51" t="s">
        <v>319</v>
      </c>
      <c r="C850" s="60"/>
      <c r="D850" s="58" t="s">
        <v>576</v>
      </c>
      <c r="E850" s="53">
        <v>36</v>
      </c>
      <c r="F850" s="9">
        <v>11.58</v>
      </c>
      <c r="G850" s="10">
        <v>12</v>
      </c>
      <c r="H850" s="54">
        <f t="shared" si="41"/>
        <v>432</v>
      </c>
      <c r="I850" s="55">
        <v>0</v>
      </c>
      <c r="J850" s="56">
        <f t="shared" si="42"/>
        <v>432</v>
      </c>
      <c r="K850" s="57">
        <f t="shared" si="48"/>
        <v>416.88</v>
      </c>
    </row>
    <row r="851" spans="1:11" ht="15" x14ac:dyDescent="0.2">
      <c r="A851" s="50" t="s">
        <v>671</v>
      </c>
      <c r="B851" s="51" t="s">
        <v>320</v>
      </c>
      <c r="C851" s="60"/>
      <c r="D851" s="58" t="s">
        <v>585</v>
      </c>
      <c r="E851" s="53">
        <v>12</v>
      </c>
      <c r="F851" s="9">
        <v>11.58</v>
      </c>
      <c r="G851" s="10">
        <v>12</v>
      </c>
      <c r="H851" s="54">
        <f t="shared" si="41"/>
        <v>144</v>
      </c>
      <c r="I851" s="55">
        <v>0</v>
      </c>
      <c r="J851" s="56">
        <f t="shared" si="42"/>
        <v>144</v>
      </c>
      <c r="K851" s="57">
        <f t="shared" si="48"/>
        <v>138.96</v>
      </c>
    </row>
    <row r="852" spans="1:11" ht="15" x14ac:dyDescent="0.2">
      <c r="A852" s="50" t="s">
        <v>671</v>
      </c>
      <c r="B852" s="51" t="s">
        <v>316</v>
      </c>
      <c r="C852" s="60"/>
      <c r="D852" s="58" t="s">
        <v>572</v>
      </c>
      <c r="E852" s="53">
        <v>60</v>
      </c>
      <c r="F852" s="9">
        <v>15.92</v>
      </c>
      <c r="G852" s="10">
        <v>16.329999999999998</v>
      </c>
      <c r="H852" s="54">
        <f t="shared" si="41"/>
        <v>979.8</v>
      </c>
      <c r="I852" s="55">
        <v>0</v>
      </c>
      <c r="J852" s="56">
        <f t="shared" si="42"/>
        <v>979.8</v>
      </c>
      <c r="K852" s="57">
        <f t="shared" si="48"/>
        <v>955.2</v>
      </c>
    </row>
    <row r="853" spans="1:11" ht="15" x14ac:dyDescent="0.2">
      <c r="A853" s="50" t="s">
        <v>671</v>
      </c>
      <c r="B853" s="51" t="s">
        <v>329</v>
      </c>
      <c r="C853" s="60"/>
      <c r="D853" s="58" t="s">
        <v>578</v>
      </c>
      <c r="E853" s="53">
        <v>24</v>
      </c>
      <c r="F853" s="9">
        <v>21.33</v>
      </c>
      <c r="G853" s="10">
        <v>23.58</v>
      </c>
      <c r="H853" s="54">
        <f t="shared" si="41"/>
        <v>565.91999999999996</v>
      </c>
      <c r="I853" s="55">
        <v>0</v>
      </c>
      <c r="J853" s="56">
        <f t="shared" si="42"/>
        <v>565.91999999999996</v>
      </c>
      <c r="K853" s="57">
        <f t="shared" si="48"/>
        <v>511.91999999999996</v>
      </c>
    </row>
    <row r="854" spans="1:11" ht="15" x14ac:dyDescent="0.2">
      <c r="A854" s="50" t="s">
        <v>671</v>
      </c>
      <c r="B854" s="51" t="s">
        <v>325</v>
      </c>
      <c r="C854" s="60"/>
      <c r="D854" s="58" t="s">
        <v>579</v>
      </c>
      <c r="E854" s="53">
        <v>24</v>
      </c>
      <c r="F854" s="9">
        <v>21.33</v>
      </c>
      <c r="G854" s="10">
        <v>23.58</v>
      </c>
      <c r="H854" s="54">
        <f t="shared" si="41"/>
        <v>565.91999999999996</v>
      </c>
      <c r="I854" s="55">
        <v>0.6</v>
      </c>
      <c r="J854" s="56">
        <f t="shared" si="42"/>
        <v>565.31999999999994</v>
      </c>
      <c r="K854" s="57">
        <f t="shared" si="48"/>
        <v>511.91999999999996</v>
      </c>
    </row>
    <row r="855" spans="1:11" ht="15" x14ac:dyDescent="0.2">
      <c r="A855" s="50" t="s">
        <v>671</v>
      </c>
      <c r="B855" s="51" t="s">
        <v>331</v>
      </c>
      <c r="C855" s="60" t="s">
        <v>700</v>
      </c>
      <c r="D855" s="58" t="s">
        <v>473</v>
      </c>
      <c r="E855" s="53">
        <v>48</v>
      </c>
      <c r="F855" s="9">
        <v>8.7100000000000009</v>
      </c>
      <c r="G855" s="10">
        <v>9.58</v>
      </c>
      <c r="H855" s="54">
        <f t="shared" si="41"/>
        <v>459.84000000000003</v>
      </c>
      <c r="I855" s="55">
        <v>0</v>
      </c>
      <c r="J855" s="56">
        <f t="shared" si="42"/>
        <v>459.84000000000003</v>
      </c>
      <c r="K855" s="57">
        <f t="shared" si="48"/>
        <v>418.08000000000004</v>
      </c>
    </row>
    <row r="856" spans="1:11" ht="15" x14ac:dyDescent="0.2">
      <c r="A856" s="50" t="s">
        <v>671</v>
      </c>
      <c r="B856" s="51" t="s">
        <v>332</v>
      </c>
      <c r="C856" s="60"/>
      <c r="D856" s="58" t="s">
        <v>474</v>
      </c>
      <c r="E856" s="53">
        <v>24</v>
      </c>
      <c r="F856" s="9">
        <v>14.58</v>
      </c>
      <c r="G856" s="10">
        <v>16.75</v>
      </c>
      <c r="H856" s="54">
        <f t="shared" si="41"/>
        <v>402</v>
      </c>
      <c r="I856" s="55">
        <v>0</v>
      </c>
      <c r="J856" s="56">
        <f t="shared" si="42"/>
        <v>402</v>
      </c>
      <c r="K856" s="57">
        <f t="shared" si="48"/>
        <v>349.92</v>
      </c>
    </row>
    <row r="857" spans="1:11" ht="15" x14ac:dyDescent="0.2">
      <c r="A857" s="50" t="s">
        <v>671</v>
      </c>
      <c r="B857" s="51" t="s">
        <v>335</v>
      </c>
      <c r="C857" s="60"/>
      <c r="D857" s="58" t="s">
        <v>575</v>
      </c>
      <c r="E857" s="53">
        <v>120</v>
      </c>
      <c r="F857" s="9">
        <v>7.04</v>
      </c>
      <c r="G857" s="10">
        <v>8.17</v>
      </c>
      <c r="H857" s="54">
        <f t="shared" si="41"/>
        <v>980.4</v>
      </c>
      <c r="I857" s="55">
        <v>0.24</v>
      </c>
      <c r="J857" s="56">
        <f t="shared" si="42"/>
        <v>980.16</v>
      </c>
      <c r="K857" s="57">
        <f t="shared" si="48"/>
        <v>844.8</v>
      </c>
    </row>
    <row r="858" spans="1:11" ht="15" x14ac:dyDescent="0.2">
      <c r="A858" s="50" t="s">
        <v>671</v>
      </c>
      <c r="B858" s="51" t="s">
        <v>317</v>
      </c>
      <c r="C858" s="60" t="s">
        <v>701</v>
      </c>
      <c r="D858" s="58" t="s">
        <v>580</v>
      </c>
      <c r="E858" s="53">
        <v>4</v>
      </c>
      <c r="F858" s="9">
        <v>59.17</v>
      </c>
      <c r="G858" s="10">
        <v>61</v>
      </c>
      <c r="H858" s="54">
        <f t="shared" si="41"/>
        <v>244</v>
      </c>
      <c r="I858" s="55">
        <v>0</v>
      </c>
      <c r="J858" s="56">
        <f t="shared" si="42"/>
        <v>244</v>
      </c>
      <c r="K858" s="57">
        <f t="shared" si="48"/>
        <v>236.68</v>
      </c>
    </row>
    <row r="859" spans="1:11" ht="15" x14ac:dyDescent="0.2">
      <c r="A859" s="50" t="s">
        <v>671</v>
      </c>
      <c r="B859" s="51" t="s">
        <v>316</v>
      </c>
      <c r="C859" s="60" t="s">
        <v>702</v>
      </c>
      <c r="D859" s="58" t="s">
        <v>572</v>
      </c>
      <c r="E859" s="53">
        <v>24</v>
      </c>
      <c r="F859" s="9">
        <v>15.92</v>
      </c>
      <c r="G859" s="10">
        <v>16.329999999999998</v>
      </c>
      <c r="H859" s="54">
        <f t="shared" si="41"/>
        <v>391.91999999999996</v>
      </c>
      <c r="I859" s="55">
        <v>0</v>
      </c>
      <c r="J859" s="56">
        <f t="shared" si="42"/>
        <v>391.91999999999996</v>
      </c>
      <c r="K859" s="57">
        <f t="shared" si="48"/>
        <v>382.08</v>
      </c>
    </row>
    <row r="860" spans="1:11" ht="15" x14ac:dyDescent="0.2">
      <c r="A860" s="50" t="s">
        <v>671</v>
      </c>
      <c r="B860" s="51" t="s">
        <v>319</v>
      </c>
      <c r="C860" s="60"/>
      <c r="D860" s="58" t="s">
        <v>576</v>
      </c>
      <c r="E860" s="53">
        <v>24</v>
      </c>
      <c r="F860" s="9">
        <v>11.58</v>
      </c>
      <c r="G860" s="10">
        <v>12</v>
      </c>
      <c r="H860" s="54">
        <f t="shared" si="41"/>
        <v>288</v>
      </c>
      <c r="I860" s="55">
        <v>0</v>
      </c>
      <c r="J860" s="56">
        <f t="shared" si="42"/>
        <v>288</v>
      </c>
      <c r="K860" s="57">
        <f t="shared" si="48"/>
        <v>277.92</v>
      </c>
    </row>
    <row r="861" spans="1:11" ht="15" x14ac:dyDescent="0.2">
      <c r="A861" s="50" t="s">
        <v>671</v>
      </c>
      <c r="B861" s="51" t="s">
        <v>317</v>
      </c>
      <c r="C861" s="60"/>
      <c r="D861" s="58" t="s">
        <v>580</v>
      </c>
      <c r="E861" s="53">
        <v>3</v>
      </c>
      <c r="F861" s="9">
        <v>59.17</v>
      </c>
      <c r="G861" s="10">
        <v>61</v>
      </c>
      <c r="H861" s="54">
        <f t="shared" si="41"/>
        <v>183</v>
      </c>
      <c r="I861" s="55">
        <v>0</v>
      </c>
      <c r="J861" s="56">
        <f t="shared" si="42"/>
        <v>183</v>
      </c>
      <c r="K861" s="57">
        <f t="shared" si="48"/>
        <v>177.51</v>
      </c>
    </row>
    <row r="862" spans="1:11" ht="15" x14ac:dyDescent="0.2">
      <c r="A862" s="50" t="s">
        <v>671</v>
      </c>
      <c r="B862" s="51" t="s">
        <v>318</v>
      </c>
      <c r="C862" s="60"/>
      <c r="D862" s="58" t="s">
        <v>581</v>
      </c>
      <c r="E862" s="53">
        <v>2</v>
      </c>
      <c r="F862" s="9">
        <v>59.17</v>
      </c>
      <c r="G862" s="10">
        <v>61</v>
      </c>
      <c r="H862" s="54">
        <f t="shared" si="41"/>
        <v>122</v>
      </c>
      <c r="I862" s="55">
        <v>0</v>
      </c>
      <c r="J862" s="56">
        <f t="shared" si="42"/>
        <v>122</v>
      </c>
      <c r="K862" s="57">
        <f t="shared" si="48"/>
        <v>118.34</v>
      </c>
    </row>
    <row r="863" spans="1:11" ht="15" x14ac:dyDescent="0.2">
      <c r="A863" s="50" t="s">
        <v>671</v>
      </c>
      <c r="B863" s="51" t="s">
        <v>317</v>
      </c>
      <c r="C863" s="60" t="s">
        <v>703</v>
      </c>
      <c r="D863" s="58" t="s">
        <v>580</v>
      </c>
      <c r="E863" s="53">
        <v>12</v>
      </c>
      <c r="F863" s="9">
        <v>59.17</v>
      </c>
      <c r="G863" s="10">
        <v>61</v>
      </c>
      <c r="H863" s="54">
        <f t="shared" si="41"/>
        <v>732</v>
      </c>
      <c r="I863" s="55">
        <v>0</v>
      </c>
      <c r="J863" s="56">
        <f t="shared" si="42"/>
        <v>732</v>
      </c>
      <c r="K863" s="57">
        <f t="shared" si="48"/>
        <v>710.04</v>
      </c>
    </row>
    <row r="864" spans="1:11" ht="15" x14ac:dyDescent="0.2">
      <c r="A864" s="50" t="s">
        <v>671</v>
      </c>
      <c r="B864" s="51" t="s">
        <v>328</v>
      </c>
      <c r="C864" s="60"/>
      <c r="D864" s="58" t="s">
        <v>647</v>
      </c>
      <c r="E864" s="53">
        <v>3</v>
      </c>
      <c r="F864" s="9">
        <v>59.17</v>
      </c>
      <c r="G864" s="10">
        <v>61</v>
      </c>
      <c r="H864" s="54">
        <f t="shared" si="41"/>
        <v>183</v>
      </c>
      <c r="I864" s="55">
        <v>0</v>
      </c>
      <c r="J864" s="56">
        <f t="shared" si="42"/>
        <v>183</v>
      </c>
      <c r="K864" s="57">
        <f t="shared" si="48"/>
        <v>177.51</v>
      </c>
    </row>
    <row r="865" spans="1:11" ht="15" x14ac:dyDescent="0.2">
      <c r="A865" s="50" t="s">
        <v>671</v>
      </c>
      <c r="B865" s="51" t="s">
        <v>318</v>
      </c>
      <c r="C865" s="60"/>
      <c r="D865" s="58" t="s">
        <v>581</v>
      </c>
      <c r="E865" s="53">
        <v>3</v>
      </c>
      <c r="F865" s="9">
        <v>59.17</v>
      </c>
      <c r="G865" s="10">
        <v>61</v>
      </c>
      <c r="H865" s="54">
        <f t="shared" si="41"/>
        <v>183</v>
      </c>
      <c r="I865" s="55">
        <v>0</v>
      </c>
      <c r="J865" s="56">
        <f t="shared" si="42"/>
        <v>183</v>
      </c>
      <c r="K865" s="57">
        <f t="shared" si="48"/>
        <v>177.51</v>
      </c>
    </row>
    <row r="866" spans="1:11" ht="15" x14ac:dyDescent="0.2">
      <c r="A866" s="50" t="s">
        <v>671</v>
      </c>
      <c r="B866" s="51" t="s">
        <v>316</v>
      </c>
      <c r="C866" s="60"/>
      <c r="D866" s="58" t="s">
        <v>572</v>
      </c>
      <c r="E866" s="53">
        <v>12</v>
      </c>
      <c r="F866" s="9">
        <v>15.92</v>
      </c>
      <c r="G866" s="10">
        <v>16.329999999999998</v>
      </c>
      <c r="H866" s="54">
        <f t="shared" si="41"/>
        <v>195.95999999999998</v>
      </c>
      <c r="I866" s="55">
        <v>0</v>
      </c>
      <c r="J866" s="56">
        <f t="shared" si="42"/>
        <v>195.95999999999998</v>
      </c>
      <c r="K866" s="57">
        <f t="shared" si="48"/>
        <v>191.04</v>
      </c>
    </row>
    <row r="867" spans="1:11" ht="15" x14ac:dyDescent="0.2">
      <c r="A867" s="50" t="s">
        <v>671</v>
      </c>
      <c r="B867" s="51" t="s">
        <v>316</v>
      </c>
      <c r="C867" s="60" t="s">
        <v>704</v>
      </c>
      <c r="D867" s="58" t="s">
        <v>572</v>
      </c>
      <c r="E867" s="53">
        <v>36</v>
      </c>
      <c r="F867" s="9">
        <v>15.92</v>
      </c>
      <c r="G867" s="10">
        <v>16.329999999999998</v>
      </c>
      <c r="H867" s="54">
        <f t="shared" si="41"/>
        <v>587.87999999999988</v>
      </c>
      <c r="I867" s="55">
        <v>0</v>
      </c>
      <c r="J867" s="56">
        <f t="shared" si="42"/>
        <v>587.87999999999988</v>
      </c>
      <c r="K867" s="57">
        <f t="shared" si="48"/>
        <v>573.12</v>
      </c>
    </row>
    <row r="868" spans="1:11" ht="15" x14ac:dyDescent="0.2">
      <c r="A868" s="50" t="s">
        <v>671</v>
      </c>
      <c r="B868" s="51" t="s">
        <v>317</v>
      </c>
      <c r="C868" s="60" t="s">
        <v>705</v>
      </c>
      <c r="D868" s="58" t="s">
        <v>580</v>
      </c>
      <c r="E868" s="53">
        <v>3</v>
      </c>
      <c r="F868" s="9">
        <v>59.17</v>
      </c>
      <c r="G868" s="10">
        <v>61</v>
      </c>
      <c r="H868" s="54">
        <f t="shared" si="41"/>
        <v>183</v>
      </c>
      <c r="I868" s="55">
        <v>0</v>
      </c>
      <c r="J868" s="56">
        <f t="shared" si="42"/>
        <v>183</v>
      </c>
      <c r="K868" s="57">
        <f t="shared" si="48"/>
        <v>177.51</v>
      </c>
    </row>
    <row r="869" spans="1:11" ht="15" x14ac:dyDescent="0.2">
      <c r="A869" s="50" t="s">
        <v>671</v>
      </c>
      <c r="B869" s="51" t="s">
        <v>328</v>
      </c>
      <c r="C869" s="60"/>
      <c r="D869" s="58" t="s">
        <v>647</v>
      </c>
      <c r="E869" s="53">
        <v>3</v>
      </c>
      <c r="F869" s="9">
        <v>59.17</v>
      </c>
      <c r="G869" s="10">
        <v>61</v>
      </c>
      <c r="H869" s="54">
        <f t="shared" si="41"/>
        <v>183</v>
      </c>
      <c r="I869" s="55">
        <v>0</v>
      </c>
      <c r="J869" s="56">
        <f t="shared" si="42"/>
        <v>183</v>
      </c>
      <c r="K869" s="57">
        <f t="shared" si="48"/>
        <v>177.51</v>
      </c>
    </row>
    <row r="870" spans="1:11" ht="15" x14ac:dyDescent="0.2">
      <c r="A870" s="50" t="s">
        <v>671</v>
      </c>
      <c r="B870" s="51" t="s">
        <v>318</v>
      </c>
      <c r="C870" s="60"/>
      <c r="D870" s="58" t="s">
        <v>581</v>
      </c>
      <c r="E870" s="53">
        <v>3</v>
      </c>
      <c r="F870" s="9">
        <v>59.17</v>
      </c>
      <c r="G870" s="10">
        <v>61</v>
      </c>
      <c r="H870" s="54">
        <f t="shared" si="41"/>
        <v>183</v>
      </c>
      <c r="I870" s="55">
        <v>0</v>
      </c>
      <c r="J870" s="56">
        <f t="shared" si="42"/>
        <v>183</v>
      </c>
      <c r="K870" s="57">
        <f t="shared" si="48"/>
        <v>177.51</v>
      </c>
    </row>
    <row r="871" spans="1:11" ht="15" x14ac:dyDescent="0.2">
      <c r="A871" s="50" t="s">
        <v>671</v>
      </c>
      <c r="B871" s="51" t="s">
        <v>316</v>
      </c>
      <c r="C871" s="60"/>
      <c r="D871" s="58" t="s">
        <v>572</v>
      </c>
      <c r="E871" s="53">
        <v>24</v>
      </c>
      <c r="F871" s="9">
        <v>15.92</v>
      </c>
      <c r="G871" s="10">
        <v>16.329999999999998</v>
      </c>
      <c r="H871" s="54">
        <f t="shared" si="41"/>
        <v>391.91999999999996</v>
      </c>
      <c r="I871" s="55">
        <v>0</v>
      </c>
      <c r="J871" s="56">
        <f t="shared" si="42"/>
        <v>391.91999999999996</v>
      </c>
      <c r="K871" s="57">
        <f t="shared" si="48"/>
        <v>382.08</v>
      </c>
    </row>
    <row r="872" spans="1:11" ht="15" x14ac:dyDescent="0.2">
      <c r="A872" s="50" t="s">
        <v>671</v>
      </c>
      <c r="B872" s="51" t="s">
        <v>317</v>
      </c>
      <c r="C872" s="60" t="s">
        <v>706</v>
      </c>
      <c r="D872" s="58" t="s">
        <v>580</v>
      </c>
      <c r="E872" s="53">
        <v>12</v>
      </c>
      <c r="F872" s="9">
        <v>59.17</v>
      </c>
      <c r="G872" s="10">
        <v>61</v>
      </c>
      <c r="H872" s="54">
        <f t="shared" si="41"/>
        <v>732</v>
      </c>
      <c r="I872" s="55">
        <v>0</v>
      </c>
      <c r="J872" s="56">
        <f t="shared" si="42"/>
        <v>732</v>
      </c>
      <c r="K872" s="57">
        <f t="shared" si="48"/>
        <v>710.04</v>
      </c>
    </row>
    <row r="873" spans="1:11" ht="15" x14ac:dyDescent="0.2">
      <c r="A873" s="50" t="s">
        <v>671</v>
      </c>
      <c r="B873" s="51" t="s">
        <v>329</v>
      </c>
      <c r="C873" s="60"/>
      <c r="D873" s="58" t="s">
        <v>578</v>
      </c>
      <c r="E873" s="53">
        <v>12</v>
      </c>
      <c r="F873" s="9">
        <v>21.33</v>
      </c>
      <c r="G873" s="10">
        <v>23.58</v>
      </c>
      <c r="H873" s="54">
        <f t="shared" si="41"/>
        <v>282.95999999999998</v>
      </c>
      <c r="I873" s="55">
        <v>0</v>
      </c>
      <c r="J873" s="56">
        <f t="shared" si="42"/>
        <v>282.95999999999998</v>
      </c>
      <c r="K873" s="57">
        <f t="shared" si="48"/>
        <v>255.95999999999998</v>
      </c>
    </row>
    <row r="874" spans="1:11" ht="15" x14ac:dyDescent="0.2">
      <c r="A874" s="50" t="s">
        <v>671</v>
      </c>
      <c r="B874" s="51" t="s">
        <v>325</v>
      </c>
      <c r="C874" s="60"/>
      <c r="D874" s="58" t="s">
        <v>579</v>
      </c>
      <c r="E874" s="53">
        <v>12</v>
      </c>
      <c r="F874" s="9">
        <v>21.33</v>
      </c>
      <c r="G874" s="10">
        <v>23.58</v>
      </c>
      <c r="H874" s="54">
        <f t="shared" si="41"/>
        <v>282.95999999999998</v>
      </c>
      <c r="I874" s="55">
        <v>0</v>
      </c>
      <c r="J874" s="56">
        <f t="shared" si="42"/>
        <v>282.95999999999998</v>
      </c>
      <c r="K874" s="57">
        <f t="shared" si="48"/>
        <v>255.95999999999998</v>
      </c>
    </row>
    <row r="875" spans="1:11" ht="15" x14ac:dyDescent="0.2">
      <c r="A875" s="50" t="s">
        <v>671</v>
      </c>
      <c r="B875" s="51" t="s">
        <v>316</v>
      </c>
      <c r="C875" s="60" t="s">
        <v>707</v>
      </c>
      <c r="D875" s="58" t="s">
        <v>572</v>
      </c>
      <c r="E875" s="53">
        <v>48</v>
      </c>
      <c r="F875" s="9">
        <v>15.92</v>
      </c>
      <c r="G875" s="10">
        <v>16.329999999999998</v>
      </c>
      <c r="H875" s="54">
        <f t="shared" si="41"/>
        <v>783.83999999999992</v>
      </c>
      <c r="I875" s="55">
        <v>0</v>
      </c>
      <c r="J875" s="56">
        <f t="shared" si="42"/>
        <v>783.83999999999992</v>
      </c>
      <c r="K875" s="57">
        <f t="shared" si="48"/>
        <v>764.16</v>
      </c>
    </row>
    <row r="876" spans="1:11" ht="15" x14ac:dyDescent="0.2">
      <c r="A876" s="50" t="s">
        <v>671</v>
      </c>
      <c r="B876" s="51" t="s">
        <v>320</v>
      </c>
      <c r="C876" s="60"/>
      <c r="D876" s="58" t="s">
        <v>585</v>
      </c>
      <c r="E876" s="53">
        <v>12</v>
      </c>
      <c r="F876" s="9">
        <v>11.58</v>
      </c>
      <c r="G876" s="10">
        <v>12</v>
      </c>
      <c r="H876" s="54">
        <f t="shared" si="41"/>
        <v>144</v>
      </c>
      <c r="I876" s="55">
        <v>0</v>
      </c>
      <c r="J876" s="56">
        <f t="shared" si="42"/>
        <v>144</v>
      </c>
      <c r="K876" s="57">
        <f t="shared" si="48"/>
        <v>138.96</v>
      </c>
    </row>
    <row r="877" spans="1:11" ht="15" x14ac:dyDescent="0.2">
      <c r="A877" s="50" t="s">
        <v>671</v>
      </c>
      <c r="B877" s="51" t="s">
        <v>336</v>
      </c>
      <c r="C877" s="60"/>
      <c r="D877" s="58" t="s">
        <v>627</v>
      </c>
      <c r="E877" s="53">
        <v>12</v>
      </c>
      <c r="F877" s="9">
        <v>11.58</v>
      </c>
      <c r="G877" s="10">
        <v>12</v>
      </c>
      <c r="H877" s="54">
        <f t="shared" si="41"/>
        <v>144</v>
      </c>
      <c r="I877" s="55">
        <v>0</v>
      </c>
      <c r="J877" s="56">
        <f t="shared" si="42"/>
        <v>144</v>
      </c>
      <c r="K877" s="57">
        <f t="shared" si="48"/>
        <v>138.96</v>
      </c>
    </row>
    <row r="878" spans="1:11" ht="15" x14ac:dyDescent="0.2">
      <c r="A878" s="50" t="s">
        <v>671</v>
      </c>
      <c r="B878" s="51" t="s">
        <v>319</v>
      </c>
      <c r="C878" s="60"/>
      <c r="D878" s="58" t="s">
        <v>576</v>
      </c>
      <c r="E878" s="53">
        <v>24</v>
      </c>
      <c r="F878" s="9">
        <v>11.58</v>
      </c>
      <c r="G878" s="10">
        <v>12</v>
      </c>
      <c r="H878" s="54">
        <f t="shared" si="41"/>
        <v>288</v>
      </c>
      <c r="I878" s="55">
        <v>0</v>
      </c>
      <c r="J878" s="56">
        <f t="shared" si="42"/>
        <v>288</v>
      </c>
      <c r="K878" s="57">
        <f t="shared" si="48"/>
        <v>277.92</v>
      </c>
    </row>
    <row r="879" spans="1:11" ht="15" x14ac:dyDescent="0.2">
      <c r="A879" s="50" t="s">
        <v>671</v>
      </c>
      <c r="B879" s="51" t="s">
        <v>329</v>
      </c>
      <c r="C879" s="60"/>
      <c r="D879" s="58" t="s">
        <v>578</v>
      </c>
      <c r="E879" s="53">
        <v>12</v>
      </c>
      <c r="F879" s="9">
        <v>21.33</v>
      </c>
      <c r="G879" s="10">
        <v>23.58</v>
      </c>
      <c r="H879" s="54">
        <f t="shared" si="41"/>
        <v>282.95999999999998</v>
      </c>
      <c r="I879" s="55">
        <v>0</v>
      </c>
      <c r="J879" s="56">
        <f t="shared" si="42"/>
        <v>282.95999999999998</v>
      </c>
      <c r="K879" s="57">
        <f t="shared" si="48"/>
        <v>255.95999999999998</v>
      </c>
    </row>
    <row r="880" spans="1:11" ht="15" x14ac:dyDescent="0.2">
      <c r="A880" s="50" t="s">
        <v>671</v>
      </c>
      <c r="B880" s="51" t="s">
        <v>317</v>
      </c>
      <c r="C880" s="60" t="s">
        <v>708</v>
      </c>
      <c r="D880" s="58" t="s">
        <v>580</v>
      </c>
      <c r="E880" s="53">
        <v>12</v>
      </c>
      <c r="F880" s="9">
        <v>59.17</v>
      </c>
      <c r="G880" s="10">
        <v>61</v>
      </c>
      <c r="H880" s="54">
        <f t="shared" si="41"/>
        <v>732</v>
      </c>
      <c r="I880" s="55">
        <v>0</v>
      </c>
      <c r="J880" s="56">
        <f t="shared" si="42"/>
        <v>732</v>
      </c>
      <c r="K880" s="57">
        <f t="shared" si="48"/>
        <v>710.04</v>
      </c>
    </row>
    <row r="881" spans="1:11" ht="15" x14ac:dyDescent="0.2">
      <c r="A881" s="50" t="s">
        <v>671</v>
      </c>
      <c r="B881" s="51" t="s">
        <v>319</v>
      </c>
      <c r="C881" s="60"/>
      <c r="D881" s="58" t="s">
        <v>576</v>
      </c>
      <c r="E881" s="53">
        <v>12</v>
      </c>
      <c r="F881" s="9">
        <v>11.58</v>
      </c>
      <c r="G881" s="10">
        <v>12</v>
      </c>
      <c r="H881" s="54">
        <f t="shared" si="41"/>
        <v>144</v>
      </c>
      <c r="I881" s="55">
        <v>0</v>
      </c>
      <c r="J881" s="56">
        <f t="shared" si="42"/>
        <v>144</v>
      </c>
      <c r="K881" s="57">
        <f t="shared" si="48"/>
        <v>138.96</v>
      </c>
    </row>
    <row r="882" spans="1:11" ht="15" x14ac:dyDescent="0.2">
      <c r="A882" s="50" t="s">
        <v>671</v>
      </c>
      <c r="B882" s="51" t="s">
        <v>320</v>
      </c>
      <c r="C882" s="60"/>
      <c r="D882" s="58" t="s">
        <v>585</v>
      </c>
      <c r="E882" s="53">
        <v>12</v>
      </c>
      <c r="F882" s="9">
        <v>11.58</v>
      </c>
      <c r="G882" s="10">
        <v>12</v>
      </c>
      <c r="H882" s="54">
        <f t="shared" si="41"/>
        <v>144</v>
      </c>
      <c r="I882" s="55">
        <v>0</v>
      </c>
      <c r="J882" s="56">
        <f t="shared" si="42"/>
        <v>144</v>
      </c>
      <c r="K882" s="57">
        <f t="shared" si="48"/>
        <v>138.96</v>
      </c>
    </row>
    <row r="883" spans="1:11" ht="15" x14ac:dyDescent="0.2">
      <c r="A883" s="50" t="s">
        <v>671</v>
      </c>
      <c r="B883" s="51" t="s">
        <v>316</v>
      </c>
      <c r="C883" s="60"/>
      <c r="D883" s="58" t="s">
        <v>572</v>
      </c>
      <c r="E883" s="53">
        <v>12</v>
      </c>
      <c r="F883" s="9">
        <v>15.92</v>
      </c>
      <c r="G883" s="10">
        <v>16.329999999999998</v>
      </c>
      <c r="H883" s="54">
        <f t="shared" si="41"/>
        <v>195.95999999999998</v>
      </c>
      <c r="I883" s="55">
        <v>0</v>
      </c>
      <c r="J883" s="56">
        <f t="shared" si="42"/>
        <v>195.95999999999998</v>
      </c>
      <c r="K883" s="57">
        <f t="shared" si="48"/>
        <v>191.04</v>
      </c>
    </row>
    <row r="884" spans="1:11" ht="15" x14ac:dyDescent="0.2">
      <c r="A884" s="50" t="s">
        <v>671</v>
      </c>
      <c r="B884" s="51" t="s">
        <v>317</v>
      </c>
      <c r="C884" s="60" t="s">
        <v>709</v>
      </c>
      <c r="D884" s="58" t="s">
        <v>580</v>
      </c>
      <c r="E884" s="53">
        <v>24</v>
      </c>
      <c r="F884" s="9">
        <v>59.17</v>
      </c>
      <c r="G884" s="10">
        <v>61</v>
      </c>
      <c r="H884" s="54">
        <f t="shared" si="41"/>
        <v>1464</v>
      </c>
      <c r="I884" s="55">
        <v>0</v>
      </c>
      <c r="J884" s="56">
        <f t="shared" si="42"/>
        <v>1464</v>
      </c>
      <c r="K884" s="57">
        <f t="shared" si="48"/>
        <v>1420.08</v>
      </c>
    </row>
    <row r="885" spans="1:11" ht="15" x14ac:dyDescent="0.2">
      <c r="A885" s="50" t="s">
        <v>671</v>
      </c>
      <c r="B885" s="51" t="s">
        <v>316</v>
      </c>
      <c r="C885" s="60"/>
      <c r="D885" s="58" t="s">
        <v>572</v>
      </c>
      <c r="E885" s="53">
        <v>120</v>
      </c>
      <c r="F885" s="9">
        <v>15.92</v>
      </c>
      <c r="G885" s="10">
        <v>16.329999999999998</v>
      </c>
      <c r="H885" s="54">
        <f t="shared" si="41"/>
        <v>1959.6</v>
      </c>
      <c r="I885" s="55">
        <v>0</v>
      </c>
      <c r="J885" s="56">
        <f t="shared" si="42"/>
        <v>1959.6</v>
      </c>
      <c r="K885" s="57">
        <f t="shared" si="48"/>
        <v>1910.4</v>
      </c>
    </row>
    <row r="886" spans="1:11" ht="15" x14ac:dyDescent="0.2">
      <c r="A886" s="50" t="s">
        <v>671</v>
      </c>
      <c r="B886" s="51" t="s">
        <v>319</v>
      </c>
      <c r="C886" s="60"/>
      <c r="D886" s="58" t="s">
        <v>576</v>
      </c>
      <c r="E886" s="53">
        <v>24</v>
      </c>
      <c r="F886" s="9">
        <v>11.58</v>
      </c>
      <c r="G886" s="10">
        <v>12</v>
      </c>
      <c r="H886" s="54">
        <f t="shared" si="41"/>
        <v>288</v>
      </c>
      <c r="I886" s="55">
        <v>0</v>
      </c>
      <c r="J886" s="56">
        <f t="shared" si="42"/>
        <v>288</v>
      </c>
      <c r="K886" s="57">
        <f t="shared" si="48"/>
        <v>277.92</v>
      </c>
    </row>
    <row r="887" spans="1:11" ht="15" x14ac:dyDescent="0.2">
      <c r="A887" s="50" t="s">
        <v>671</v>
      </c>
      <c r="B887" s="51" t="s">
        <v>320</v>
      </c>
      <c r="C887" s="60"/>
      <c r="D887" s="58" t="s">
        <v>585</v>
      </c>
      <c r="E887" s="53">
        <v>12</v>
      </c>
      <c r="F887" s="9">
        <v>11.58</v>
      </c>
      <c r="G887" s="10">
        <v>12</v>
      </c>
      <c r="H887" s="54">
        <f t="shared" si="41"/>
        <v>144</v>
      </c>
      <c r="I887" s="55">
        <v>0</v>
      </c>
      <c r="J887" s="56">
        <f t="shared" si="42"/>
        <v>144</v>
      </c>
      <c r="K887" s="57">
        <f t="shared" si="48"/>
        <v>138.96</v>
      </c>
    </row>
    <row r="888" spans="1:11" ht="15" x14ac:dyDescent="0.2">
      <c r="A888" s="50" t="s">
        <v>671</v>
      </c>
      <c r="B888" s="51" t="s">
        <v>331</v>
      </c>
      <c r="C888" s="60"/>
      <c r="D888" s="58" t="s">
        <v>473</v>
      </c>
      <c r="E888" s="53">
        <v>24</v>
      </c>
      <c r="F888" s="9">
        <v>8.7100000000000009</v>
      </c>
      <c r="G888" s="10">
        <v>9.58</v>
      </c>
      <c r="H888" s="54">
        <f t="shared" si="41"/>
        <v>229.92000000000002</v>
      </c>
      <c r="I888" s="55">
        <v>0</v>
      </c>
      <c r="J888" s="56">
        <f t="shared" si="42"/>
        <v>229.92000000000002</v>
      </c>
      <c r="K888" s="57">
        <f t="shared" si="48"/>
        <v>209.04000000000002</v>
      </c>
    </row>
    <row r="889" spans="1:11" ht="15" x14ac:dyDescent="0.2">
      <c r="A889" s="50" t="s">
        <v>671</v>
      </c>
      <c r="B889" s="51" t="s">
        <v>313</v>
      </c>
      <c r="C889" s="60"/>
      <c r="D889" s="58" t="s">
        <v>577</v>
      </c>
      <c r="E889" s="53">
        <v>24</v>
      </c>
      <c r="F889" s="9">
        <v>7.04</v>
      </c>
      <c r="G889" s="10">
        <v>8.17</v>
      </c>
      <c r="H889" s="54">
        <f t="shared" si="41"/>
        <v>196.07999999999998</v>
      </c>
      <c r="I889" s="55">
        <v>0</v>
      </c>
      <c r="J889" s="56">
        <f t="shared" si="42"/>
        <v>196.07999999999998</v>
      </c>
      <c r="K889" s="57">
        <f t="shared" si="48"/>
        <v>168.96</v>
      </c>
    </row>
    <row r="890" spans="1:11" ht="15" x14ac:dyDescent="0.2">
      <c r="A890" s="50" t="s">
        <v>711</v>
      </c>
      <c r="B890" s="51" t="s">
        <v>319</v>
      </c>
      <c r="C890" s="60" t="s">
        <v>724</v>
      </c>
      <c r="D890" s="58" t="s">
        <v>576</v>
      </c>
      <c r="E890" s="53">
        <v>24</v>
      </c>
      <c r="F890" s="9">
        <v>11.58</v>
      </c>
      <c r="G890" s="82">
        <v>12</v>
      </c>
      <c r="H890" s="54">
        <f t="shared" ref="H890:H953" si="49">E890*G890</f>
        <v>288</v>
      </c>
      <c r="I890" s="55">
        <v>0</v>
      </c>
      <c r="J890" s="56">
        <f t="shared" ref="J890:J906" si="50">(G890*E890)-I890</f>
        <v>288</v>
      </c>
      <c r="K890" s="57">
        <f t="shared" si="48"/>
        <v>277.92</v>
      </c>
    </row>
    <row r="891" spans="1:11" ht="15" x14ac:dyDescent="0.2">
      <c r="A891" s="50" t="s">
        <v>711</v>
      </c>
      <c r="B891" s="51" t="s">
        <v>320</v>
      </c>
      <c r="C891" s="60"/>
      <c r="D891" s="58" t="s">
        <v>585</v>
      </c>
      <c r="E891" s="53">
        <v>12</v>
      </c>
      <c r="F891" s="9">
        <v>11.58</v>
      </c>
      <c r="G891" s="82">
        <v>12</v>
      </c>
      <c r="H891" s="54">
        <f t="shared" si="49"/>
        <v>144</v>
      </c>
      <c r="I891" s="55">
        <v>0</v>
      </c>
      <c r="J891" s="56">
        <f t="shared" si="50"/>
        <v>144</v>
      </c>
      <c r="K891" s="57">
        <f t="shared" si="48"/>
        <v>138.96</v>
      </c>
    </row>
    <row r="892" spans="1:11" ht="15" x14ac:dyDescent="0.2">
      <c r="A892" s="50" t="s">
        <v>711</v>
      </c>
      <c r="B892" s="51" t="s">
        <v>336</v>
      </c>
      <c r="C892" s="60"/>
      <c r="D892" s="58" t="s">
        <v>627</v>
      </c>
      <c r="E892" s="53">
        <v>12</v>
      </c>
      <c r="F892" s="9">
        <v>11.58</v>
      </c>
      <c r="G892" s="82">
        <v>12</v>
      </c>
      <c r="H892" s="54">
        <f t="shared" si="49"/>
        <v>144</v>
      </c>
      <c r="I892" s="55">
        <v>0</v>
      </c>
      <c r="J892" s="56">
        <f t="shared" si="50"/>
        <v>144</v>
      </c>
      <c r="K892" s="57">
        <f t="shared" si="48"/>
        <v>138.96</v>
      </c>
    </row>
    <row r="893" spans="1:11" ht="15" x14ac:dyDescent="0.2">
      <c r="A893" s="50" t="s">
        <v>711</v>
      </c>
      <c r="B893" s="51" t="s">
        <v>317</v>
      </c>
      <c r="C893" s="60" t="s">
        <v>725</v>
      </c>
      <c r="D893" s="58" t="s">
        <v>580</v>
      </c>
      <c r="E893" s="53">
        <v>6</v>
      </c>
      <c r="F893" s="9">
        <v>59.17</v>
      </c>
      <c r="G893" s="82">
        <v>61</v>
      </c>
      <c r="H893" s="54">
        <f t="shared" si="49"/>
        <v>366</v>
      </c>
      <c r="I893" s="55">
        <v>0</v>
      </c>
      <c r="J893" s="56">
        <f t="shared" si="50"/>
        <v>366</v>
      </c>
      <c r="K893" s="57">
        <f t="shared" si="48"/>
        <v>355.02</v>
      </c>
    </row>
    <row r="894" spans="1:11" ht="15" x14ac:dyDescent="0.2">
      <c r="A894" s="50" t="s">
        <v>711</v>
      </c>
      <c r="B894" s="51" t="s">
        <v>318</v>
      </c>
      <c r="C894" s="60"/>
      <c r="D894" s="58" t="s">
        <v>581</v>
      </c>
      <c r="E894" s="53">
        <v>6</v>
      </c>
      <c r="F894" s="9">
        <v>59.17</v>
      </c>
      <c r="G894" s="82">
        <v>61</v>
      </c>
      <c r="H894" s="54">
        <f t="shared" si="49"/>
        <v>366</v>
      </c>
      <c r="I894" s="55">
        <v>0</v>
      </c>
      <c r="J894" s="56">
        <f t="shared" si="50"/>
        <v>366</v>
      </c>
      <c r="K894" s="57">
        <f t="shared" si="48"/>
        <v>355.02</v>
      </c>
    </row>
    <row r="895" spans="1:11" ht="15" x14ac:dyDescent="0.2">
      <c r="A895" s="50" t="s">
        <v>711</v>
      </c>
      <c r="B895" s="51" t="s">
        <v>317</v>
      </c>
      <c r="C895" s="60" t="s">
        <v>726</v>
      </c>
      <c r="D895" s="58" t="s">
        <v>580</v>
      </c>
      <c r="E895" s="53">
        <v>60</v>
      </c>
      <c r="F895" s="9">
        <v>59.17</v>
      </c>
      <c r="G895" s="82">
        <v>61</v>
      </c>
      <c r="H895" s="54">
        <f t="shared" si="49"/>
        <v>3660</v>
      </c>
      <c r="I895" s="55">
        <v>0</v>
      </c>
      <c r="J895" s="56">
        <f t="shared" si="50"/>
        <v>3660</v>
      </c>
      <c r="K895" s="57">
        <f t="shared" si="48"/>
        <v>3550.2000000000003</v>
      </c>
    </row>
    <row r="896" spans="1:11" ht="15" x14ac:dyDescent="0.2">
      <c r="A896" s="50" t="s">
        <v>711</v>
      </c>
      <c r="B896" s="51" t="s">
        <v>328</v>
      </c>
      <c r="C896" s="60"/>
      <c r="D896" s="58" t="s">
        <v>647</v>
      </c>
      <c r="E896" s="53">
        <v>24</v>
      </c>
      <c r="F896" s="9">
        <v>59.17</v>
      </c>
      <c r="G896" s="82">
        <v>61</v>
      </c>
      <c r="H896" s="54">
        <f t="shared" si="49"/>
        <v>1464</v>
      </c>
      <c r="I896" s="55">
        <v>0</v>
      </c>
      <c r="J896" s="56">
        <f t="shared" si="50"/>
        <v>1464</v>
      </c>
      <c r="K896" s="57">
        <f t="shared" si="48"/>
        <v>1420.08</v>
      </c>
    </row>
    <row r="897" spans="1:14" ht="15" x14ac:dyDescent="0.2">
      <c r="A897" s="50" t="s">
        <v>711</v>
      </c>
      <c r="B897" s="51" t="s">
        <v>318</v>
      </c>
      <c r="C897" s="60"/>
      <c r="D897" s="58" t="s">
        <v>581</v>
      </c>
      <c r="E897" s="53">
        <v>24</v>
      </c>
      <c r="F897" s="9">
        <v>59.17</v>
      </c>
      <c r="G897" s="82">
        <v>61</v>
      </c>
      <c r="H897" s="54">
        <f t="shared" si="49"/>
        <v>1464</v>
      </c>
      <c r="I897" s="55">
        <v>0</v>
      </c>
      <c r="J897" s="56">
        <f t="shared" si="50"/>
        <v>1464</v>
      </c>
      <c r="K897" s="57">
        <f t="shared" si="48"/>
        <v>1420.08</v>
      </c>
    </row>
    <row r="898" spans="1:14" ht="15" x14ac:dyDescent="0.2">
      <c r="A898" s="50" t="s">
        <v>711</v>
      </c>
      <c r="B898" s="51" t="s">
        <v>316</v>
      </c>
      <c r="C898" s="60"/>
      <c r="D898" s="58" t="s">
        <v>572</v>
      </c>
      <c r="E898" s="53">
        <v>36</v>
      </c>
      <c r="F898" s="9">
        <v>15.92</v>
      </c>
      <c r="G898" s="82">
        <v>16.329999999999998</v>
      </c>
      <c r="H898" s="54">
        <f t="shared" si="49"/>
        <v>587.87999999999988</v>
      </c>
      <c r="I898" s="55">
        <v>0</v>
      </c>
      <c r="J898" s="56">
        <f t="shared" si="50"/>
        <v>587.87999999999988</v>
      </c>
      <c r="K898" s="57">
        <f t="shared" si="48"/>
        <v>573.12</v>
      </c>
    </row>
    <row r="899" spans="1:14" ht="15" x14ac:dyDescent="0.2">
      <c r="A899" s="50" t="s">
        <v>711</v>
      </c>
      <c r="B899" s="51" t="s">
        <v>319</v>
      </c>
      <c r="C899" s="60"/>
      <c r="D899" s="58" t="s">
        <v>576</v>
      </c>
      <c r="E899" s="53">
        <v>36</v>
      </c>
      <c r="F899" s="9">
        <v>11.58</v>
      </c>
      <c r="G899" s="82">
        <v>12</v>
      </c>
      <c r="H899" s="54">
        <f t="shared" si="49"/>
        <v>432</v>
      </c>
      <c r="I899" s="55">
        <v>0</v>
      </c>
      <c r="J899" s="56">
        <f t="shared" si="50"/>
        <v>432</v>
      </c>
      <c r="K899" s="57">
        <f t="shared" si="48"/>
        <v>416.88</v>
      </c>
    </row>
    <row r="900" spans="1:14" ht="15" x14ac:dyDescent="0.2">
      <c r="A900" s="50" t="s">
        <v>711</v>
      </c>
      <c r="B900" s="51" t="s">
        <v>332</v>
      </c>
      <c r="C900" s="60"/>
      <c r="D900" s="58" t="s">
        <v>474</v>
      </c>
      <c r="E900" s="53">
        <v>36</v>
      </c>
      <c r="F900" s="9">
        <v>14.58</v>
      </c>
      <c r="G900" s="82">
        <v>16.75</v>
      </c>
      <c r="H900" s="54">
        <f t="shared" si="49"/>
        <v>603</v>
      </c>
      <c r="I900" s="55">
        <v>0</v>
      </c>
      <c r="J900" s="56">
        <f t="shared" si="50"/>
        <v>603</v>
      </c>
      <c r="K900" s="57">
        <f t="shared" si="48"/>
        <v>524.88</v>
      </c>
    </row>
    <row r="901" spans="1:14" ht="15" x14ac:dyDescent="0.2">
      <c r="A901" s="50" t="s">
        <v>711</v>
      </c>
      <c r="B901" s="51" t="s">
        <v>331</v>
      </c>
      <c r="C901" s="60"/>
      <c r="D901" s="58" t="s">
        <v>473</v>
      </c>
      <c r="E901" s="53">
        <v>48</v>
      </c>
      <c r="F901" s="9">
        <v>8.7100000000000009</v>
      </c>
      <c r="G901" s="82">
        <v>9.58</v>
      </c>
      <c r="H901" s="54">
        <f t="shared" si="49"/>
        <v>459.84000000000003</v>
      </c>
      <c r="I901" s="55">
        <v>0</v>
      </c>
      <c r="J901" s="56">
        <f t="shared" si="50"/>
        <v>459.84000000000003</v>
      </c>
      <c r="K901" s="57">
        <f t="shared" si="48"/>
        <v>418.08000000000004</v>
      </c>
    </row>
    <row r="902" spans="1:14" ht="15" x14ac:dyDescent="0.2">
      <c r="A902" s="50" t="s">
        <v>711</v>
      </c>
      <c r="B902" s="51" t="s">
        <v>317</v>
      </c>
      <c r="C902" s="60" t="s">
        <v>727</v>
      </c>
      <c r="D902" s="58" t="s">
        <v>580</v>
      </c>
      <c r="E902" s="53">
        <v>6</v>
      </c>
      <c r="F902" s="9">
        <v>59.17</v>
      </c>
      <c r="G902" s="82">
        <v>61</v>
      </c>
      <c r="H902" s="54">
        <f t="shared" si="49"/>
        <v>366</v>
      </c>
      <c r="I902" s="55">
        <v>0</v>
      </c>
      <c r="J902" s="56">
        <f t="shared" si="50"/>
        <v>366</v>
      </c>
      <c r="K902" s="57">
        <f t="shared" si="48"/>
        <v>355.02</v>
      </c>
    </row>
    <row r="903" spans="1:14" ht="15" x14ac:dyDescent="0.2">
      <c r="A903" s="50" t="s">
        <v>711</v>
      </c>
      <c r="B903" s="51" t="s">
        <v>316</v>
      </c>
      <c r="C903" s="60"/>
      <c r="D903" s="58" t="s">
        <v>572</v>
      </c>
      <c r="E903" s="53">
        <v>12</v>
      </c>
      <c r="F903" s="9">
        <v>15.92</v>
      </c>
      <c r="G903" s="82">
        <v>16.329999999999998</v>
      </c>
      <c r="H903" s="54">
        <f t="shared" si="49"/>
        <v>195.95999999999998</v>
      </c>
      <c r="I903" s="55">
        <v>0</v>
      </c>
      <c r="J903" s="56">
        <f t="shared" si="50"/>
        <v>195.95999999999998</v>
      </c>
      <c r="K903" s="57">
        <f t="shared" si="48"/>
        <v>191.04</v>
      </c>
    </row>
    <row r="904" spans="1:14" ht="15" x14ac:dyDescent="0.2">
      <c r="A904" s="50" t="s">
        <v>711</v>
      </c>
      <c r="B904" s="51" t="s">
        <v>335</v>
      </c>
      <c r="C904" s="60" t="s">
        <v>728</v>
      </c>
      <c r="D904" s="58" t="s">
        <v>575</v>
      </c>
      <c r="E904" s="53">
        <v>72</v>
      </c>
      <c r="F904" s="9">
        <v>7.04</v>
      </c>
      <c r="G904" s="82">
        <v>8.17</v>
      </c>
      <c r="H904" s="54">
        <f t="shared" si="49"/>
        <v>588.24</v>
      </c>
      <c r="I904" s="55">
        <v>0</v>
      </c>
      <c r="J904" s="56">
        <f t="shared" si="50"/>
        <v>588.24</v>
      </c>
      <c r="K904" s="57">
        <f t="shared" si="48"/>
        <v>506.88</v>
      </c>
    </row>
    <row r="905" spans="1:14" ht="15" x14ac:dyDescent="0.2">
      <c r="A905" s="50" t="s">
        <v>711</v>
      </c>
      <c r="B905" s="51" t="s">
        <v>316</v>
      </c>
      <c r="C905" s="60"/>
      <c r="D905" s="58" t="s">
        <v>572</v>
      </c>
      <c r="E905" s="53">
        <v>12</v>
      </c>
      <c r="F905" s="9">
        <v>15.92</v>
      </c>
      <c r="G905" s="82">
        <v>16.329999999999998</v>
      </c>
      <c r="H905" s="54">
        <f t="shared" si="49"/>
        <v>195.95999999999998</v>
      </c>
      <c r="I905" s="55">
        <v>0.2</v>
      </c>
      <c r="J905" s="56">
        <f t="shared" si="50"/>
        <v>195.76</v>
      </c>
      <c r="K905" s="57">
        <f t="shared" si="48"/>
        <v>191.04</v>
      </c>
    </row>
    <row r="906" spans="1:14" ht="15" x14ac:dyDescent="0.2">
      <c r="A906" s="50" t="s">
        <v>712</v>
      </c>
      <c r="B906" s="51" t="s">
        <v>331</v>
      </c>
      <c r="C906" s="60" t="s">
        <v>729</v>
      </c>
      <c r="D906" s="58" t="s">
        <v>473</v>
      </c>
      <c r="E906" s="53">
        <v>48</v>
      </c>
      <c r="F906" s="9">
        <v>8.7100000000000009</v>
      </c>
      <c r="G906" s="82">
        <v>9.58</v>
      </c>
      <c r="H906" s="54">
        <f t="shared" si="49"/>
        <v>459.84000000000003</v>
      </c>
      <c r="I906" s="55">
        <v>9.84</v>
      </c>
      <c r="J906" s="56">
        <f t="shared" si="50"/>
        <v>450.00000000000006</v>
      </c>
      <c r="K906" s="57">
        <f t="shared" si="48"/>
        <v>418.08000000000004</v>
      </c>
      <c r="L906" s="2">
        <v>55761.24</v>
      </c>
      <c r="M906" s="2">
        <v>55759.64</v>
      </c>
      <c r="N906" s="22">
        <f>M906-L906</f>
        <v>-1.5999999999985448</v>
      </c>
    </row>
    <row r="907" spans="1:14" ht="15" x14ac:dyDescent="0.2">
      <c r="A907" s="50" t="s">
        <v>730</v>
      </c>
      <c r="B907" s="51" t="s">
        <v>317</v>
      </c>
      <c r="C907" s="60" t="s">
        <v>739</v>
      </c>
      <c r="D907" s="58" t="s">
        <v>580</v>
      </c>
      <c r="E907" s="53">
        <v>12</v>
      </c>
      <c r="F907" s="9">
        <v>59.17</v>
      </c>
      <c r="G907" s="10">
        <v>61</v>
      </c>
      <c r="H907" s="54">
        <f t="shared" si="49"/>
        <v>732</v>
      </c>
      <c r="I907" s="55">
        <v>0</v>
      </c>
      <c r="J907" s="56">
        <f t="shared" ref="J907:J970" si="51">(G907*E907)-I907</f>
        <v>732</v>
      </c>
      <c r="K907" s="57">
        <f t="shared" si="48"/>
        <v>710.04</v>
      </c>
    </row>
    <row r="908" spans="1:14" ht="15" x14ac:dyDescent="0.2">
      <c r="A908" s="50" t="s">
        <v>730</v>
      </c>
      <c r="B908" s="51" t="s">
        <v>335</v>
      </c>
      <c r="C908" s="60" t="s">
        <v>740</v>
      </c>
      <c r="D908" s="58" t="s">
        <v>575</v>
      </c>
      <c r="E908" s="53">
        <v>24</v>
      </c>
      <c r="F908" s="9">
        <v>7.04</v>
      </c>
      <c r="G908" s="10">
        <v>8.17</v>
      </c>
      <c r="H908" s="54">
        <f t="shared" si="49"/>
        <v>196.07999999999998</v>
      </c>
      <c r="I908" s="55">
        <v>0.08</v>
      </c>
      <c r="J908" s="56">
        <f t="shared" si="51"/>
        <v>195.99999999999997</v>
      </c>
      <c r="K908" s="57">
        <f t="shared" si="48"/>
        <v>168.96</v>
      </c>
    </row>
    <row r="909" spans="1:14" ht="15" x14ac:dyDescent="0.2">
      <c r="A909" s="50" t="s">
        <v>730</v>
      </c>
      <c r="B909" s="51" t="s">
        <v>324</v>
      </c>
      <c r="C909" s="60" t="s">
        <v>741</v>
      </c>
      <c r="D909" s="58" t="s">
        <v>466</v>
      </c>
      <c r="E909" s="53">
        <v>30</v>
      </c>
      <c r="F909" s="9">
        <v>6.67</v>
      </c>
      <c r="G909" s="10">
        <v>7.37</v>
      </c>
      <c r="H909" s="54">
        <f t="shared" si="49"/>
        <v>221.1</v>
      </c>
      <c r="I909" s="55">
        <v>0</v>
      </c>
      <c r="J909" s="56">
        <f t="shared" si="51"/>
        <v>221.1</v>
      </c>
      <c r="K909" s="57">
        <f t="shared" ref="K909:K968" si="52">E909*F909</f>
        <v>200.1</v>
      </c>
    </row>
    <row r="910" spans="1:14" ht="15" x14ac:dyDescent="0.2">
      <c r="A910" s="50" t="s">
        <v>730</v>
      </c>
      <c r="B910" s="51" t="s">
        <v>331</v>
      </c>
      <c r="C910" s="60"/>
      <c r="D910" s="58" t="s">
        <v>473</v>
      </c>
      <c r="E910" s="53">
        <v>24</v>
      </c>
      <c r="F910" s="9">
        <v>8.7100000000000009</v>
      </c>
      <c r="G910" s="10">
        <v>9.58</v>
      </c>
      <c r="H910" s="54">
        <f t="shared" si="49"/>
        <v>229.92000000000002</v>
      </c>
      <c r="I910" s="55">
        <v>0.02</v>
      </c>
      <c r="J910" s="56">
        <f t="shared" si="51"/>
        <v>229.9</v>
      </c>
      <c r="K910" s="57">
        <f t="shared" si="52"/>
        <v>209.04000000000002</v>
      </c>
    </row>
    <row r="911" spans="1:14" ht="15" x14ac:dyDescent="0.2">
      <c r="A911" s="50" t="s">
        <v>730</v>
      </c>
      <c r="B911" s="51" t="s">
        <v>335</v>
      </c>
      <c r="C911" s="60" t="s">
        <v>742</v>
      </c>
      <c r="D911" s="58" t="s">
        <v>575</v>
      </c>
      <c r="E911" s="53">
        <v>192</v>
      </c>
      <c r="F911" s="9">
        <v>7.04</v>
      </c>
      <c r="G911" s="10">
        <v>8.17</v>
      </c>
      <c r="H911" s="54">
        <f t="shared" si="49"/>
        <v>1568.6399999999999</v>
      </c>
      <c r="I911" s="55">
        <v>0</v>
      </c>
      <c r="J911" s="56">
        <f t="shared" si="51"/>
        <v>1568.6399999999999</v>
      </c>
      <c r="K911" s="57">
        <f t="shared" si="52"/>
        <v>1351.68</v>
      </c>
    </row>
    <row r="912" spans="1:14" ht="15" x14ac:dyDescent="0.2">
      <c r="A912" s="50" t="s">
        <v>730</v>
      </c>
      <c r="B912" s="51" t="s">
        <v>313</v>
      </c>
      <c r="C912" s="60"/>
      <c r="D912" s="58" t="s">
        <v>577</v>
      </c>
      <c r="E912" s="53">
        <v>48</v>
      </c>
      <c r="F912" s="9">
        <v>7.04</v>
      </c>
      <c r="G912" s="10">
        <v>8.17</v>
      </c>
      <c r="H912" s="54">
        <f t="shared" si="49"/>
        <v>392.15999999999997</v>
      </c>
      <c r="I912" s="55">
        <v>0</v>
      </c>
      <c r="J912" s="56">
        <f t="shared" si="51"/>
        <v>392.15999999999997</v>
      </c>
      <c r="K912" s="57">
        <f t="shared" si="52"/>
        <v>337.92</v>
      </c>
    </row>
    <row r="913" spans="1:11" ht="15" x14ac:dyDescent="0.2">
      <c r="A913" s="50" t="s">
        <v>730</v>
      </c>
      <c r="B913" s="51" t="s">
        <v>326</v>
      </c>
      <c r="C913" s="60"/>
      <c r="D913" s="58" t="s">
        <v>626</v>
      </c>
      <c r="E913" s="53">
        <v>48</v>
      </c>
      <c r="F913" s="9">
        <v>7.04</v>
      </c>
      <c r="G913" s="10">
        <v>8.17</v>
      </c>
      <c r="H913" s="54">
        <f t="shared" si="49"/>
        <v>392.15999999999997</v>
      </c>
      <c r="I913" s="55">
        <v>0</v>
      </c>
      <c r="J913" s="56">
        <f t="shared" si="51"/>
        <v>392.15999999999997</v>
      </c>
      <c r="K913" s="57">
        <f t="shared" si="52"/>
        <v>337.92</v>
      </c>
    </row>
    <row r="914" spans="1:11" ht="15" x14ac:dyDescent="0.2">
      <c r="A914" s="50" t="s">
        <v>730</v>
      </c>
      <c r="B914" s="51" t="s">
        <v>334</v>
      </c>
      <c r="C914" s="60"/>
      <c r="D914" s="58" t="s">
        <v>648</v>
      </c>
      <c r="E914" s="53">
        <v>24</v>
      </c>
      <c r="F914" s="9">
        <v>6.88</v>
      </c>
      <c r="G914" s="10">
        <v>8.17</v>
      </c>
      <c r="H914" s="54">
        <f t="shared" si="49"/>
        <v>196.07999999999998</v>
      </c>
      <c r="I914" s="55">
        <v>0</v>
      </c>
      <c r="J914" s="56">
        <f t="shared" si="51"/>
        <v>196.07999999999998</v>
      </c>
      <c r="K914" s="57">
        <f t="shared" si="52"/>
        <v>165.12</v>
      </c>
    </row>
    <row r="915" spans="1:11" ht="15" x14ac:dyDescent="0.2">
      <c r="A915" s="50" t="s">
        <v>730</v>
      </c>
      <c r="B915" s="51" t="s">
        <v>329</v>
      </c>
      <c r="C915" s="60"/>
      <c r="D915" s="58" t="s">
        <v>578</v>
      </c>
      <c r="E915" s="53">
        <v>24</v>
      </c>
      <c r="F915" s="9">
        <v>21.33</v>
      </c>
      <c r="G915" s="10">
        <v>23.58</v>
      </c>
      <c r="H915" s="54">
        <f t="shared" si="49"/>
        <v>565.91999999999996</v>
      </c>
      <c r="I915" s="55">
        <v>0</v>
      </c>
      <c r="J915" s="56">
        <f t="shared" si="51"/>
        <v>565.91999999999996</v>
      </c>
      <c r="K915" s="57">
        <f t="shared" si="52"/>
        <v>511.91999999999996</v>
      </c>
    </row>
    <row r="916" spans="1:11" ht="15" x14ac:dyDescent="0.2">
      <c r="A916" s="50" t="s">
        <v>730</v>
      </c>
      <c r="B916" s="51" t="s">
        <v>325</v>
      </c>
      <c r="C916" s="60"/>
      <c r="D916" s="58" t="s">
        <v>579</v>
      </c>
      <c r="E916" s="53">
        <v>24</v>
      </c>
      <c r="F916" s="9">
        <v>21.33</v>
      </c>
      <c r="G916" s="10">
        <v>23.58</v>
      </c>
      <c r="H916" s="54">
        <f t="shared" si="49"/>
        <v>565.91999999999996</v>
      </c>
      <c r="I916" s="55">
        <v>0</v>
      </c>
      <c r="J916" s="56">
        <f t="shared" si="51"/>
        <v>565.91999999999996</v>
      </c>
      <c r="K916" s="57">
        <f t="shared" si="52"/>
        <v>511.91999999999996</v>
      </c>
    </row>
    <row r="917" spans="1:11" ht="15" x14ac:dyDescent="0.2">
      <c r="A917" s="50" t="s">
        <v>730</v>
      </c>
      <c r="B917" s="51" t="s">
        <v>331</v>
      </c>
      <c r="C917" s="60"/>
      <c r="D917" s="58" t="s">
        <v>473</v>
      </c>
      <c r="E917" s="53">
        <v>72</v>
      </c>
      <c r="F917" s="9">
        <v>8.7100000000000009</v>
      </c>
      <c r="G917" s="10">
        <v>9.58</v>
      </c>
      <c r="H917" s="54">
        <f t="shared" si="49"/>
        <v>689.76</v>
      </c>
      <c r="I917" s="55">
        <v>0</v>
      </c>
      <c r="J917" s="56">
        <f t="shared" si="51"/>
        <v>689.76</v>
      </c>
      <c r="K917" s="57">
        <f t="shared" si="52"/>
        <v>627.12000000000012</v>
      </c>
    </row>
    <row r="918" spans="1:11" ht="15" x14ac:dyDescent="0.2">
      <c r="A918" s="50" t="s">
        <v>730</v>
      </c>
      <c r="B918" s="51" t="s">
        <v>328</v>
      </c>
      <c r="C918" s="60"/>
      <c r="D918" s="58" t="s">
        <v>647</v>
      </c>
      <c r="E918" s="53">
        <v>3</v>
      </c>
      <c r="F918" s="9">
        <v>59.17</v>
      </c>
      <c r="G918" s="10">
        <v>61</v>
      </c>
      <c r="H918" s="54">
        <f t="shared" si="49"/>
        <v>183</v>
      </c>
      <c r="I918" s="55">
        <v>0</v>
      </c>
      <c r="J918" s="56">
        <f t="shared" si="51"/>
        <v>183</v>
      </c>
      <c r="K918" s="57">
        <f t="shared" si="52"/>
        <v>177.51</v>
      </c>
    </row>
    <row r="919" spans="1:11" ht="15" x14ac:dyDescent="0.2">
      <c r="A919" s="50" t="s">
        <v>730</v>
      </c>
      <c r="B919" s="51" t="s">
        <v>318</v>
      </c>
      <c r="C919" s="60"/>
      <c r="D919" s="58" t="s">
        <v>581</v>
      </c>
      <c r="E919" s="53">
        <v>3</v>
      </c>
      <c r="F919" s="9">
        <v>59.17</v>
      </c>
      <c r="G919" s="10">
        <v>61</v>
      </c>
      <c r="H919" s="54">
        <f t="shared" si="49"/>
        <v>183</v>
      </c>
      <c r="I919" s="55">
        <v>0</v>
      </c>
      <c r="J919" s="56">
        <f t="shared" si="51"/>
        <v>183</v>
      </c>
      <c r="K919" s="57">
        <f t="shared" si="52"/>
        <v>177.51</v>
      </c>
    </row>
    <row r="920" spans="1:11" ht="15" x14ac:dyDescent="0.2">
      <c r="A920" s="50" t="s">
        <v>730</v>
      </c>
      <c r="B920" s="51" t="s">
        <v>317</v>
      </c>
      <c r="C920" s="60"/>
      <c r="D920" s="58" t="s">
        <v>580</v>
      </c>
      <c r="E920" s="53">
        <v>18</v>
      </c>
      <c r="F920" s="9">
        <v>59.17</v>
      </c>
      <c r="G920" s="10">
        <v>61</v>
      </c>
      <c r="H920" s="54">
        <f t="shared" si="49"/>
        <v>1098</v>
      </c>
      <c r="I920" s="55">
        <v>0.64</v>
      </c>
      <c r="J920" s="56">
        <f t="shared" si="51"/>
        <v>1097.3599999999999</v>
      </c>
      <c r="K920" s="57">
        <f t="shared" si="52"/>
        <v>1065.06</v>
      </c>
    </row>
    <row r="921" spans="1:11" ht="15" x14ac:dyDescent="0.2">
      <c r="A921" s="50" t="s">
        <v>730</v>
      </c>
      <c r="B921" s="51" t="s">
        <v>317</v>
      </c>
      <c r="C921" s="60" t="s">
        <v>743</v>
      </c>
      <c r="D921" s="58" t="s">
        <v>580</v>
      </c>
      <c r="E921" s="53">
        <v>36</v>
      </c>
      <c r="F921" s="9">
        <v>59.17</v>
      </c>
      <c r="G921" s="10">
        <v>61</v>
      </c>
      <c r="H921" s="54">
        <f t="shared" si="49"/>
        <v>2196</v>
      </c>
      <c r="I921" s="55">
        <v>0</v>
      </c>
      <c r="J921" s="56">
        <f t="shared" si="51"/>
        <v>2196</v>
      </c>
      <c r="K921" s="57">
        <f t="shared" si="52"/>
        <v>2130.12</v>
      </c>
    </row>
    <row r="922" spans="1:11" ht="15" x14ac:dyDescent="0.2">
      <c r="A922" s="50" t="s">
        <v>730</v>
      </c>
      <c r="B922" s="51" t="s">
        <v>316</v>
      </c>
      <c r="C922" s="60"/>
      <c r="D922" s="58" t="s">
        <v>572</v>
      </c>
      <c r="E922" s="53">
        <v>84</v>
      </c>
      <c r="F922" s="9">
        <v>15.92</v>
      </c>
      <c r="G922" s="10">
        <v>16.329999999999998</v>
      </c>
      <c r="H922" s="54">
        <f t="shared" si="49"/>
        <v>1371.7199999999998</v>
      </c>
      <c r="I922" s="55">
        <v>0</v>
      </c>
      <c r="J922" s="56">
        <f t="shared" si="51"/>
        <v>1371.7199999999998</v>
      </c>
      <c r="K922" s="57">
        <f t="shared" si="52"/>
        <v>1337.28</v>
      </c>
    </row>
    <row r="923" spans="1:11" ht="15" x14ac:dyDescent="0.2">
      <c r="A923" s="50" t="s">
        <v>730</v>
      </c>
      <c r="B923" s="51" t="s">
        <v>335</v>
      </c>
      <c r="C923" s="60" t="s">
        <v>744</v>
      </c>
      <c r="D923" s="58" t="s">
        <v>575</v>
      </c>
      <c r="E923" s="53">
        <v>1080</v>
      </c>
      <c r="F923" s="9">
        <v>7.04</v>
      </c>
      <c r="G923" s="10">
        <v>8.17</v>
      </c>
      <c r="H923" s="54">
        <f t="shared" si="49"/>
        <v>8823.6</v>
      </c>
      <c r="I923" s="55">
        <v>0</v>
      </c>
      <c r="J923" s="56">
        <f t="shared" si="51"/>
        <v>8823.6</v>
      </c>
      <c r="K923" s="57">
        <f t="shared" si="52"/>
        <v>7603.2</v>
      </c>
    </row>
    <row r="924" spans="1:11" ht="15" x14ac:dyDescent="0.2">
      <c r="A924" s="50" t="s">
        <v>730</v>
      </c>
      <c r="B924" s="51" t="s">
        <v>313</v>
      </c>
      <c r="C924" s="60"/>
      <c r="D924" s="58" t="s">
        <v>577</v>
      </c>
      <c r="E924" s="53">
        <v>192</v>
      </c>
      <c r="F924" s="9">
        <v>7.04</v>
      </c>
      <c r="G924" s="10">
        <v>8.17</v>
      </c>
      <c r="H924" s="54">
        <f t="shared" si="49"/>
        <v>1568.6399999999999</v>
      </c>
      <c r="I924" s="55">
        <v>0</v>
      </c>
      <c r="J924" s="56">
        <f t="shared" si="51"/>
        <v>1568.6399999999999</v>
      </c>
      <c r="K924" s="57">
        <f t="shared" si="52"/>
        <v>1351.68</v>
      </c>
    </row>
    <row r="925" spans="1:11" ht="15" x14ac:dyDescent="0.2">
      <c r="A925" s="50" t="s">
        <v>730</v>
      </c>
      <c r="B925" s="51" t="s">
        <v>326</v>
      </c>
      <c r="C925" s="60"/>
      <c r="D925" s="58" t="s">
        <v>626</v>
      </c>
      <c r="E925" s="53">
        <v>168</v>
      </c>
      <c r="F925" s="9">
        <v>7.04</v>
      </c>
      <c r="G925" s="10">
        <v>8.17</v>
      </c>
      <c r="H925" s="54">
        <f t="shared" si="49"/>
        <v>1372.56</v>
      </c>
      <c r="I925" s="55">
        <v>0</v>
      </c>
      <c r="J925" s="56">
        <f t="shared" si="51"/>
        <v>1372.56</v>
      </c>
      <c r="K925" s="57">
        <f t="shared" si="52"/>
        <v>1182.72</v>
      </c>
    </row>
    <row r="926" spans="1:11" ht="15" x14ac:dyDescent="0.2">
      <c r="A926" s="50" t="s">
        <v>730</v>
      </c>
      <c r="B926" s="51" t="s">
        <v>325</v>
      </c>
      <c r="C926" s="60"/>
      <c r="D926" s="58" t="s">
        <v>579</v>
      </c>
      <c r="E926" s="53">
        <v>60</v>
      </c>
      <c r="F926" s="9">
        <v>21.33</v>
      </c>
      <c r="G926" s="10">
        <v>23.58</v>
      </c>
      <c r="H926" s="54">
        <f t="shared" si="49"/>
        <v>1414.8</v>
      </c>
      <c r="I926" s="55">
        <v>0</v>
      </c>
      <c r="J926" s="56">
        <f t="shared" si="51"/>
        <v>1414.8</v>
      </c>
      <c r="K926" s="57">
        <f t="shared" si="52"/>
        <v>1279.8</v>
      </c>
    </row>
    <row r="927" spans="1:11" ht="15" x14ac:dyDescent="0.2">
      <c r="A927" s="50" t="s">
        <v>730</v>
      </c>
      <c r="B927" s="51" t="s">
        <v>329</v>
      </c>
      <c r="C927" s="60"/>
      <c r="D927" s="58" t="s">
        <v>578</v>
      </c>
      <c r="E927" s="53">
        <v>60</v>
      </c>
      <c r="F927" s="9">
        <v>21.33</v>
      </c>
      <c r="G927" s="10">
        <v>23.58</v>
      </c>
      <c r="H927" s="54">
        <f t="shared" si="49"/>
        <v>1414.8</v>
      </c>
      <c r="I927" s="55">
        <v>0</v>
      </c>
      <c r="J927" s="56">
        <f t="shared" si="51"/>
        <v>1414.8</v>
      </c>
      <c r="K927" s="57">
        <f t="shared" si="52"/>
        <v>1279.8</v>
      </c>
    </row>
    <row r="928" spans="1:11" ht="15" x14ac:dyDescent="0.2">
      <c r="A928" s="50" t="s">
        <v>730</v>
      </c>
      <c r="B928" s="51" t="s">
        <v>316</v>
      </c>
      <c r="C928" s="60"/>
      <c r="D928" s="58" t="s">
        <v>572</v>
      </c>
      <c r="E928" s="53">
        <v>240</v>
      </c>
      <c r="F928" s="9">
        <v>15.92</v>
      </c>
      <c r="G928" s="10">
        <v>16.329999999999998</v>
      </c>
      <c r="H928" s="54">
        <f t="shared" si="49"/>
        <v>3919.2</v>
      </c>
      <c r="I928" s="55">
        <v>0</v>
      </c>
      <c r="J928" s="56">
        <f t="shared" si="51"/>
        <v>3919.2</v>
      </c>
      <c r="K928" s="57">
        <f t="shared" si="52"/>
        <v>3820.8</v>
      </c>
    </row>
    <row r="929" spans="1:11" ht="15" x14ac:dyDescent="0.2">
      <c r="A929" s="50" t="s">
        <v>730</v>
      </c>
      <c r="B929" s="51" t="s">
        <v>324</v>
      </c>
      <c r="C929" s="60"/>
      <c r="D929" s="58" t="s">
        <v>466</v>
      </c>
      <c r="E929" s="53">
        <v>90</v>
      </c>
      <c r="F929" s="9">
        <v>6.67</v>
      </c>
      <c r="G929" s="10">
        <v>7.37</v>
      </c>
      <c r="H929" s="54">
        <f t="shared" si="49"/>
        <v>663.3</v>
      </c>
      <c r="I929" s="55">
        <v>0</v>
      </c>
      <c r="J929" s="56">
        <f t="shared" si="51"/>
        <v>663.3</v>
      </c>
      <c r="K929" s="57">
        <f t="shared" si="52"/>
        <v>600.29999999999995</v>
      </c>
    </row>
    <row r="930" spans="1:11" ht="15" x14ac:dyDescent="0.2">
      <c r="A930" s="50" t="s">
        <v>730</v>
      </c>
      <c r="B930" s="51" t="s">
        <v>331</v>
      </c>
      <c r="C930" s="60"/>
      <c r="D930" s="58" t="s">
        <v>473</v>
      </c>
      <c r="E930" s="53">
        <v>48</v>
      </c>
      <c r="F930" s="9">
        <v>8.7100000000000009</v>
      </c>
      <c r="G930" s="10">
        <v>9.58</v>
      </c>
      <c r="H930" s="54">
        <f t="shared" si="49"/>
        <v>459.84000000000003</v>
      </c>
      <c r="I930" s="55">
        <v>0</v>
      </c>
      <c r="J930" s="56">
        <f t="shared" si="51"/>
        <v>459.84000000000003</v>
      </c>
      <c r="K930" s="57">
        <f t="shared" si="52"/>
        <v>418.08000000000004</v>
      </c>
    </row>
    <row r="931" spans="1:11" ht="15" x14ac:dyDescent="0.2">
      <c r="A931" s="50" t="s">
        <v>730</v>
      </c>
      <c r="B931" s="51" t="s">
        <v>332</v>
      </c>
      <c r="C931" s="60"/>
      <c r="D931" s="58" t="s">
        <v>474</v>
      </c>
      <c r="E931" s="53">
        <v>36</v>
      </c>
      <c r="F931" s="9">
        <v>14.58</v>
      </c>
      <c r="G931" s="10">
        <v>16.75</v>
      </c>
      <c r="H931" s="54">
        <f t="shared" si="49"/>
        <v>603</v>
      </c>
      <c r="I931" s="55">
        <v>0</v>
      </c>
      <c r="J931" s="56">
        <f t="shared" si="51"/>
        <v>603</v>
      </c>
      <c r="K931" s="57">
        <f t="shared" si="52"/>
        <v>524.88</v>
      </c>
    </row>
    <row r="932" spans="1:11" ht="15" x14ac:dyDescent="0.2">
      <c r="A932" s="50" t="s">
        <v>730</v>
      </c>
      <c r="B932" s="51" t="s">
        <v>317</v>
      </c>
      <c r="C932" s="60"/>
      <c r="D932" s="58" t="s">
        <v>580</v>
      </c>
      <c r="E932" s="53">
        <v>96</v>
      </c>
      <c r="F932" s="9">
        <v>59.17</v>
      </c>
      <c r="G932" s="10">
        <v>61</v>
      </c>
      <c r="H932" s="54">
        <f t="shared" si="49"/>
        <v>5856</v>
      </c>
      <c r="I932" s="55">
        <v>0</v>
      </c>
      <c r="J932" s="56">
        <f t="shared" si="51"/>
        <v>5856</v>
      </c>
      <c r="K932" s="57">
        <f t="shared" si="52"/>
        <v>5680.32</v>
      </c>
    </row>
    <row r="933" spans="1:11" ht="15" x14ac:dyDescent="0.2">
      <c r="A933" s="50" t="s">
        <v>730</v>
      </c>
      <c r="B933" s="51" t="s">
        <v>328</v>
      </c>
      <c r="C933" s="60"/>
      <c r="D933" s="58" t="s">
        <v>647</v>
      </c>
      <c r="E933" s="53">
        <v>12</v>
      </c>
      <c r="F933" s="9">
        <v>59.17</v>
      </c>
      <c r="G933" s="10">
        <v>61</v>
      </c>
      <c r="H933" s="54">
        <f t="shared" si="49"/>
        <v>732</v>
      </c>
      <c r="I933" s="55">
        <v>0</v>
      </c>
      <c r="J933" s="56">
        <f t="shared" si="51"/>
        <v>732</v>
      </c>
      <c r="K933" s="57">
        <f t="shared" si="52"/>
        <v>710.04</v>
      </c>
    </row>
    <row r="934" spans="1:11" ht="15" x14ac:dyDescent="0.2">
      <c r="A934" s="50" t="s">
        <v>730</v>
      </c>
      <c r="B934" s="51" t="s">
        <v>318</v>
      </c>
      <c r="C934" s="60"/>
      <c r="D934" s="58" t="s">
        <v>581</v>
      </c>
      <c r="E934" s="53">
        <v>12</v>
      </c>
      <c r="F934" s="9">
        <v>59.17</v>
      </c>
      <c r="G934" s="10">
        <v>61</v>
      </c>
      <c r="H934" s="54">
        <f t="shared" si="49"/>
        <v>732</v>
      </c>
      <c r="I934" s="55">
        <v>3.74</v>
      </c>
      <c r="J934" s="56">
        <f t="shared" si="51"/>
        <v>728.26</v>
      </c>
      <c r="K934" s="57">
        <f t="shared" si="52"/>
        <v>710.04</v>
      </c>
    </row>
    <row r="935" spans="1:11" ht="15" x14ac:dyDescent="0.2">
      <c r="A935" s="50" t="s">
        <v>730</v>
      </c>
      <c r="B935" s="51" t="s">
        <v>316</v>
      </c>
      <c r="C935" s="60" t="s">
        <v>745</v>
      </c>
      <c r="D935" s="58" t="s">
        <v>572</v>
      </c>
      <c r="E935" s="53">
        <v>180</v>
      </c>
      <c r="F935" s="9">
        <v>15.92</v>
      </c>
      <c r="G935" s="10">
        <v>16.329999999999998</v>
      </c>
      <c r="H935" s="54">
        <f t="shared" si="49"/>
        <v>2939.3999999999996</v>
      </c>
      <c r="I935" s="55">
        <v>0</v>
      </c>
      <c r="J935" s="56">
        <f t="shared" si="51"/>
        <v>2939.3999999999996</v>
      </c>
      <c r="K935" s="57">
        <f t="shared" si="52"/>
        <v>2865.6</v>
      </c>
    </row>
    <row r="936" spans="1:11" ht="15" x14ac:dyDescent="0.2">
      <c r="A936" s="50" t="s">
        <v>730</v>
      </c>
      <c r="B936" s="51" t="s">
        <v>317</v>
      </c>
      <c r="C936" s="60"/>
      <c r="D936" s="58" t="s">
        <v>580</v>
      </c>
      <c r="E936" s="53">
        <v>12</v>
      </c>
      <c r="F936" s="9">
        <v>59.17</v>
      </c>
      <c r="G936" s="10">
        <v>61</v>
      </c>
      <c r="H936" s="54">
        <f t="shared" si="49"/>
        <v>732</v>
      </c>
      <c r="I936" s="55">
        <v>0</v>
      </c>
      <c r="J936" s="56">
        <f t="shared" si="51"/>
        <v>732</v>
      </c>
      <c r="K936" s="57">
        <f t="shared" si="52"/>
        <v>710.04</v>
      </c>
    </row>
    <row r="937" spans="1:11" ht="15" x14ac:dyDescent="0.2">
      <c r="A937" s="50" t="s">
        <v>730</v>
      </c>
      <c r="B937" s="51" t="s">
        <v>313</v>
      </c>
      <c r="C937" s="60" t="s">
        <v>746</v>
      </c>
      <c r="D937" s="58" t="s">
        <v>577</v>
      </c>
      <c r="E937" s="53">
        <v>156</v>
      </c>
      <c r="F937" s="9">
        <v>7.04</v>
      </c>
      <c r="G937" s="10">
        <v>8.17</v>
      </c>
      <c r="H937" s="54">
        <f t="shared" si="49"/>
        <v>1274.52</v>
      </c>
      <c r="I937" s="55">
        <v>0</v>
      </c>
      <c r="J937" s="56">
        <f t="shared" si="51"/>
        <v>1274.52</v>
      </c>
      <c r="K937" s="57">
        <f t="shared" si="52"/>
        <v>1098.24</v>
      </c>
    </row>
    <row r="938" spans="1:11" ht="15" x14ac:dyDescent="0.2">
      <c r="A938" s="50" t="s">
        <v>730</v>
      </c>
      <c r="B938" s="51" t="s">
        <v>326</v>
      </c>
      <c r="C938" s="60"/>
      <c r="D938" s="58" t="s">
        <v>626</v>
      </c>
      <c r="E938" s="53">
        <v>60</v>
      </c>
      <c r="F938" s="9">
        <v>7.04</v>
      </c>
      <c r="G938" s="10">
        <v>8.17</v>
      </c>
      <c r="H938" s="54">
        <f t="shared" si="49"/>
        <v>490.2</v>
      </c>
      <c r="I938" s="55">
        <v>0</v>
      </c>
      <c r="J938" s="56">
        <f t="shared" si="51"/>
        <v>490.2</v>
      </c>
      <c r="K938" s="57">
        <f t="shared" si="52"/>
        <v>422.4</v>
      </c>
    </row>
    <row r="939" spans="1:11" ht="15" x14ac:dyDescent="0.2">
      <c r="A939" s="50" t="s">
        <v>730</v>
      </c>
      <c r="B939" s="51" t="s">
        <v>329</v>
      </c>
      <c r="C939" s="60"/>
      <c r="D939" s="58" t="s">
        <v>578</v>
      </c>
      <c r="E939" s="53">
        <v>60</v>
      </c>
      <c r="F939" s="9">
        <v>21.33</v>
      </c>
      <c r="G939" s="10">
        <v>23.58</v>
      </c>
      <c r="H939" s="54">
        <f t="shared" si="49"/>
        <v>1414.8</v>
      </c>
      <c r="I939" s="55">
        <v>0</v>
      </c>
      <c r="J939" s="56">
        <f t="shared" si="51"/>
        <v>1414.8</v>
      </c>
      <c r="K939" s="57">
        <f t="shared" si="52"/>
        <v>1279.8</v>
      </c>
    </row>
    <row r="940" spans="1:11" ht="15" x14ac:dyDescent="0.2">
      <c r="A940" s="50" t="s">
        <v>730</v>
      </c>
      <c r="B940" s="51" t="s">
        <v>325</v>
      </c>
      <c r="C940" s="60"/>
      <c r="D940" s="58" t="s">
        <v>579</v>
      </c>
      <c r="E940" s="53">
        <v>24</v>
      </c>
      <c r="F940" s="9">
        <v>21.33</v>
      </c>
      <c r="G940" s="10">
        <v>23.58</v>
      </c>
      <c r="H940" s="54">
        <f t="shared" si="49"/>
        <v>565.91999999999996</v>
      </c>
      <c r="I940" s="55">
        <v>0</v>
      </c>
      <c r="J940" s="56">
        <f t="shared" si="51"/>
        <v>565.91999999999996</v>
      </c>
      <c r="K940" s="57">
        <f t="shared" si="52"/>
        <v>511.91999999999996</v>
      </c>
    </row>
    <row r="941" spans="1:11" ht="15" x14ac:dyDescent="0.2">
      <c r="A941" s="50" t="s">
        <v>730</v>
      </c>
      <c r="B941" s="51" t="s">
        <v>328</v>
      </c>
      <c r="C941" s="60"/>
      <c r="D941" s="58" t="s">
        <v>647</v>
      </c>
      <c r="E941" s="53">
        <v>12</v>
      </c>
      <c r="F941" s="9">
        <v>59.17</v>
      </c>
      <c r="G941" s="10">
        <v>61</v>
      </c>
      <c r="H941" s="54">
        <f t="shared" si="49"/>
        <v>732</v>
      </c>
      <c r="I941" s="55">
        <v>0</v>
      </c>
      <c r="J941" s="56">
        <f t="shared" si="51"/>
        <v>732</v>
      </c>
      <c r="K941" s="57">
        <f t="shared" si="52"/>
        <v>710.04</v>
      </c>
    </row>
    <row r="942" spans="1:11" ht="15" x14ac:dyDescent="0.2">
      <c r="A942" s="50" t="s">
        <v>730</v>
      </c>
      <c r="B942" s="51" t="s">
        <v>331</v>
      </c>
      <c r="C942" s="60"/>
      <c r="D942" s="58" t="s">
        <v>473</v>
      </c>
      <c r="E942" s="53">
        <v>96</v>
      </c>
      <c r="F942" s="9">
        <v>8.7100000000000009</v>
      </c>
      <c r="G942" s="10">
        <v>9.58</v>
      </c>
      <c r="H942" s="54">
        <f t="shared" si="49"/>
        <v>919.68000000000006</v>
      </c>
      <c r="I942" s="55">
        <v>0.12</v>
      </c>
      <c r="J942" s="56">
        <f t="shared" si="51"/>
        <v>919.56000000000006</v>
      </c>
      <c r="K942" s="57">
        <f t="shared" si="52"/>
        <v>836.16000000000008</v>
      </c>
    </row>
    <row r="943" spans="1:11" ht="15" x14ac:dyDescent="0.2">
      <c r="A943" s="50" t="s">
        <v>730</v>
      </c>
      <c r="B943" s="51" t="s">
        <v>316</v>
      </c>
      <c r="C943" s="60" t="s">
        <v>747</v>
      </c>
      <c r="D943" s="58" t="s">
        <v>572</v>
      </c>
      <c r="E943" s="53">
        <v>24</v>
      </c>
      <c r="F943" s="9">
        <v>15.92</v>
      </c>
      <c r="G943" s="10">
        <v>16.329999999999998</v>
      </c>
      <c r="H943" s="54">
        <f t="shared" si="49"/>
        <v>391.91999999999996</v>
      </c>
      <c r="I943" s="55">
        <v>0</v>
      </c>
      <c r="J943" s="56">
        <f t="shared" si="51"/>
        <v>391.91999999999996</v>
      </c>
      <c r="K943" s="57">
        <f t="shared" si="52"/>
        <v>382.08</v>
      </c>
    </row>
    <row r="944" spans="1:11" ht="15" x14ac:dyDescent="0.2">
      <c r="A944" s="50" t="s">
        <v>730</v>
      </c>
      <c r="B944" s="51" t="s">
        <v>320</v>
      </c>
      <c r="C944" s="60"/>
      <c r="D944" s="58" t="s">
        <v>585</v>
      </c>
      <c r="E944" s="53">
        <v>12</v>
      </c>
      <c r="F944" s="9">
        <v>11.58</v>
      </c>
      <c r="G944" s="10">
        <v>12</v>
      </c>
      <c r="H944" s="54">
        <f t="shared" si="49"/>
        <v>144</v>
      </c>
      <c r="I944" s="55">
        <v>0</v>
      </c>
      <c r="J944" s="56">
        <f t="shared" si="51"/>
        <v>144</v>
      </c>
      <c r="K944" s="57">
        <f t="shared" si="52"/>
        <v>138.96</v>
      </c>
    </row>
    <row r="945" spans="1:11" ht="15" x14ac:dyDescent="0.2">
      <c r="A945" s="50" t="s">
        <v>730</v>
      </c>
      <c r="B945" s="51" t="s">
        <v>335</v>
      </c>
      <c r="C945" s="60"/>
      <c r="D945" s="58" t="s">
        <v>575</v>
      </c>
      <c r="E945" s="53">
        <v>48</v>
      </c>
      <c r="F945" s="9">
        <v>7.04</v>
      </c>
      <c r="G945" s="10">
        <v>8.17</v>
      </c>
      <c r="H945" s="54">
        <f t="shared" si="49"/>
        <v>392.15999999999997</v>
      </c>
      <c r="I945" s="55">
        <v>0</v>
      </c>
      <c r="J945" s="56">
        <f t="shared" si="51"/>
        <v>392.15999999999997</v>
      </c>
      <c r="K945" s="57">
        <f t="shared" si="52"/>
        <v>337.92</v>
      </c>
    </row>
    <row r="946" spans="1:11" ht="15" x14ac:dyDescent="0.2">
      <c r="A946" s="50" t="s">
        <v>730</v>
      </c>
      <c r="B946" s="51" t="s">
        <v>329</v>
      </c>
      <c r="C946" s="60"/>
      <c r="D946" s="58" t="s">
        <v>578</v>
      </c>
      <c r="E946" s="53">
        <v>12</v>
      </c>
      <c r="F946" s="9">
        <v>21.33</v>
      </c>
      <c r="G946" s="10">
        <v>23.58</v>
      </c>
      <c r="H946" s="54">
        <f t="shared" si="49"/>
        <v>282.95999999999998</v>
      </c>
      <c r="I946" s="55">
        <v>0</v>
      </c>
      <c r="J946" s="56">
        <f t="shared" si="51"/>
        <v>282.95999999999998</v>
      </c>
      <c r="K946" s="57">
        <f t="shared" si="52"/>
        <v>255.95999999999998</v>
      </c>
    </row>
    <row r="947" spans="1:11" ht="15" x14ac:dyDescent="0.2">
      <c r="A947" s="50" t="s">
        <v>730</v>
      </c>
      <c r="B947" s="51" t="s">
        <v>325</v>
      </c>
      <c r="C947" s="60"/>
      <c r="D947" s="58" t="s">
        <v>579</v>
      </c>
      <c r="E947" s="53">
        <v>6</v>
      </c>
      <c r="F947" s="9">
        <v>21.33</v>
      </c>
      <c r="G947" s="10">
        <v>23.58</v>
      </c>
      <c r="H947" s="54">
        <f t="shared" si="49"/>
        <v>141.47999999999999</v>
      </c>
      <c r="I947" s="55">
        <v>0</v>
      </c>
      <c r="J947" s="56">
        <f t="shared" si="51"/>
        <v>141.47999999999999</v>
      </c>
      <c r="K947" s="57">
        <f t="shared" si="52"/>
        <v>127.97999999999999</v>
      </c>
    </row>
    <row r="948" spans="1:11" ht="15" x14ac:dyDescent="0.2">
      <c r="A948" s="50" t="s">
        <v>730</v>
      </c>
      <c r="B948" s="51" t="s">
        <v>324</v>
      </c>
      <c r="C948" s="60" t="s">
        <v>748</v>
      </c>
      <c r="D948" s="58" t="s">
        <v>466</v>
      </c>
      <c r="E948" s="53">
        <v>30</v>
      </c>
      <c r="F948" s="9">
        <v>6.67</v>
      </c>
      <c r="G948" s="10">
        <v>7.37</v>
      </c>
      <c r="H948" s="54">
        <f t="shared" si="49"/>
        <v>221.1</v>
      </c>
      <c r="I948" s="55">
        <v>0</v>
      </c>
      <c r="J948" s="56">
        <f t="shared" si="51"/>
        <v>221.1</v>
      </c>
      <c r="K948" s="57">
        <f t="shared" si="52"/>
        <v>200.1</v>
      </c>
    </row>
    <row r="949" spans="1:11" ht="15" x14ac:dyDescent="0.2">
      <c r="A949" s="50" t="s">
        <v>730</v>
      </c>
      <c r="B949" s="51" t="s">
        <v>319</v>
      </c>
      <c r="C949" s="60"/>
      <c r="D949" s="58" t="s">
        <v>576</v>
      </c>
      <c r="E949" s="53">
        <v>36</v>
      </c>
      <c r="F949" s="9">
        <v>11.58</v>
      </c>
      <c r="G949" s="10">
        <v>12</v>
      </c>
      <c r="H949" s="54">
        <f t="shared" si="49"/>
        <v>432</v>
      </c>
      <c r="I949" s="55">
        <v>0</v>
      </c>
      <c r="J949" s="56">
        <f t="shared" si="51"/>
        <v>432</v>
      </c>
      <c r="K949" s="57">
        <f t="shared" si="52"/>
        <v>416.88</v>
      </c>
    </row>
    <row r="950" spans="1:11" ht="15" x14ac:dyDescent="0.2">
      <c r="A950" s="50" t="s">
        <v>730</v>
      </c>
      <c r="B950" s="51" t="s">
        <v>316</v>
      </c>
      <c r="C950" s="60"/>
      <c r="D950" s="58" t="s">
        <v>572</v>
      </c>
      <c r="E950" s="53">
        <v>24</v>
      </c>
      <c r="F950" s="9">
        <v>15.92</v>
      </c>
      <c r="G950" s="10">
        <v>16.329999999999998</v>
      </c>
      <c r="H950" s="54">
        <f t="shared" si="49"/>
        <v>391.91999999999996</v>
      </c>
      <c r="I950" s="55">
        <v>0</v>
      </c>
      <c r="J950" s="56">
        <f t="shared" si="51"/>
        <v>391.91999999999996</v>
      </c>
      <c r="K950" s="57">
        <f t="shared" si="52"/>
        <v>382.08</v>
      </c>
    </row>
    <row r="951" spans="1:11" ht="15" x14ac:dyDescent="0.2">
      <c r="A951" s="50" t="s">
        <v>730</v>
      </c>
      <c r="B951" s="51" t="s">
        <v>317</v>
      </c>
      <c r="C951" s="60"/>
      <c r="D951" s="58" t="s">
        <v>580</v>
      </c>
      <c r="E951" s="53">
        <v>12</v>
      </c>
      <c r="F951" s="9">
        <v>59.17</v>
      </c>
      <c r="G951" s="10">
        <v>61</v>
      </c>
      <c r="H951" s="54">
        <f t="shared" si="49"/>
        <v>732</v>
      </c>
      <c r="I951" s="55">
        <v>0.02</v>
      </c>
      <c r="J951" s="56">
        <f t="shared" si="51"/>
        <v>731.98</v>
      </c>
      <c r="K951" s="57">
        <f t="shared" si="52"/>
        <v>710.04</v>
      </c>
    </row>
    <row r="952" spans="1:11" ht="15" x14ac:dyDescent="0.2">
      <c r="A952" s="50" t="s">
        <v>730</v>
      </c>
      <c r="B952" s="51" t="s">
        <v>316</v>
      </c>
      <c r="C952" s="60" t="s">
        <v>749</v>
      </c>
      <c r="D952" s="58" t="s">
        <v>572</v>
      </c>
      <c r="E952" s="53">
        <v>24</v>
      </c>
      <c r="F952" s="9">
        <v>15.92</v>
      </c>
      <c r="G952" s="10">
        <v>16.329999999999998</v>
      </c>
      <c r="H952" s="54">
        <f t="shared" si="49"/>
        <v>391.91999999999996</v>
      </c>
      <c r="I952" s="55">
        <v>0</v>
      </c>
      <c r="J952" s="56">
        <f t="shared" si="51"/>
        <v>391.91999999999996</v>
      </c>
      <c r="K952" s="57">
        <f t="shared" si="52"/>
        <v>382.08</v>
      </c>
    </row>
    <row r="953" spans="1:11" ht="15" x14ac:dyDescent="0.2">
      <c r="A953" s="50" t="s">
        <v>730</v>
      </c>
      <c r="B953" s="51" t="s">
        <v>316</v>
      </c>
      <c r="C953" s="60" t="s">
        <v>750</v>
      </c>
      <c r="D953" s="58" t="s">
        <v>572</v>
      </c>
      <c r="E953" s="53">
        <v>60</v>
      </c>
      <c r="F953" s="9">
        <v>15.92</v>
      </c>
      <c r="G953" s="10">
        <v>16.329999999999998</v>
      </c>
      <c r="H953" s="54">
        <f t="shared" si="49"/>
        <v>979.8</v>
      </c>
      <c r="I953" s="55">
        <v>0</v>
      </c>
      <c r="J953" s="56">
        <f t="shared" si="51"/>
        <v>979.8</v>
      </c>
      <c r="K953" s="57">
        <f t="shared" si="52"/>
        <v>955.2</v>
      </c>
    </row>
    <row r="954" spans="1:11" ht="15" x14ac:dyDescent="0.2">
      <c r="A954" s="50" t="s">
        <v>730</v>
      </c>
      <c r="B954" s="51" t="s">
        <v>316</v>
      </c>
      <c r="C954" s="60" t="s">
        <v>751</v>
      </c>
      <c r="D954" s="58" t="s">
        <v>572</v>
      </c>
      <c r="E954" s="53">
        <v>36</v>
      </c>
      <c r="F954" s="9">
        <v>15.92</v>
      </c>
      <c r="G954" s="10">
        <v>16.329999999999998</v>
      </c>
      <c r="H954" s="54">
        <f t="shared" ref="H954:H1017" si="53">E954*G954</f>
        <v>587.87999999999988</v>
      </c>
      <c r="I954" s="55">
        <v>0</v>
      </c>
      <c r="J954" s="56">
        <f t="shared" si="51"/>
        <v>587.87999999999988</v>
      </c>
      <c r="K954" s="57">
        <f t="shared" si="52"/>
        <v>573.12</v>
      </c>
    </row>
    <row r="955" spans="1:11" ht="15" x14ac:dyDescent="0.2">
      <c r="A955" s="50" t="s">
        <v>730</v>
      </c>
      <c r="B955" s="51" t="s">
        <v>319</v>
      </c>
      <c r="C955" s="60"/>
      <c r="D955" s="58" t="s">
        <v>576</v>
      </c>
      <c r="E955" s="53">
        <v>36</v>
      </c>
      <c r="F955" s="9">
        <v>11.58</v>
      </c>
      <c r="G955" s="10">
        <v>12</v>
      </c>
      <c r="H955" s="54">
        <f t="shared" si="53"/>
        <v>432</v>
      </c>
      <c r="I955" s="55">
        <v>0</v>
      </c>
      <c r="J955" s="56">
        <f t="shared" si="51"/>
        <v>432</v>
      </c>
      <c r="K955" s="57">
        <f t="shared" si="52"/>
        <v>416.88</v>
      </c>
    </row>
    <row r="956" spans="1:11" ht="15" x14ac:dyDescent="0.2">
      <c r="A956" s="50" t="s">
        <v>730</v>
      </c>
      <c r="B956" s="51" t="s">
        <v>329</v>
      </c>
      <c r="C956" s="60"/>
      <c r="D956" s="58" t="s">
        <v>578</v>
      </c>
      <c r="E956" s="53">
        <v>12</v>
      </c>
      <c r="F956" s="9">
        <v>21.33</v>
      </c>
      <c r="G956" s="10">
        <v>23.58</v>
      </c>
      <c r="H956" s="54">
        <f t="shared" si="53"/>
        <v>282.95999999999998</v>
      </c>
      <c r="I956" s="55">
        <v>0</v>
      </c>
      <c r="J956" s="56">
        <f t="shared" si="51"/>
        <v>282.95999999999998</v>
      </c>
      <c r="K956" s="57">
        <f t="shared" si="52"/>
        <v>255.95999999999998</v>
      </c>
    </row>
    <row r="957" spans="1:11" ht="15" x14ac:dyDescent="0.2">
      <c r="A957" s="50" t="s">
        <v>730</v>
      </c>
      <c r="B957" s="51" t="s">
        <v>325</v>
      </c>
      <c r="C957" s="60"/>
      <c r="D957" s="58" t="s">
        <v>579</v>
      </c>
      <c r="E957" s="53">
        <v>24</v>
      </c>
      <c r="F957" s="9">
        <v>21.33</v>
      </c>
      <c r="G957" s="10">
        <v>23.58</v>
      </c>
      <c r="H957" s="54">
        <f t="shared" si="53"/>
        <v>565.91999999999996</v>
      </c>
      <c r="I957" s="55">
        <v>0</v>
      </c>
      <c r="J957" s="56">
        <f t="shared" si="51"/>
        <v>565.91999999999996</v>
      </c>
      <c r="K957" s="57">
        <f t="shared" si="52"/>
        <v>511.91999999999996</v>
      </c>
    </row>
    <row r="958" spans="1:11" ht="15" x14ac:dyDescent="0.2">
      <c r="A958" s="50" t="s">
        <v>730</v>
      </c>
      <c r="B958" s="51" t="s">
        <v>317</v>
      </c>
      <c r="C958" s="60" t="s">
        <v>752</v>
      </c>
      <c r="D958" s="58" t="s">
        <v>580</v>
      </c>
      <c r="E958" s="53">
        <v>6</v>
      </c>
      <c r="F958" s="9">
        <v>59.17</v>
      </c>
      <c r="G958" s="10">
        <v>61</v>
      </c>
      <c r="H958" s="54">
        <f t="shared" si="53"/>
        <v>366</v>
      </c>
      <c r="I958" s="55">
        <v>0</v>
      </c>
      <c r="J958" s="56">
        <f t="shared" si="51"/>
        <v>366</v>
      </c>
      <c r="K958" s="57">
        <f t="shared" si="52"/>
        <v>355.02</v>
      </c>
    </row>
    <row r="959" spans="1:11" ht="15" x14ac:dyDescent="0.2">
      <c r="A959" s="50" t="s">
        <v>730</v>
      </c>
      <c r="B959" s="51" t="s">
        <v>316</v>
      </c>
      <c r="C959" s="60" t="s">
        <v>753</v>
      </c>
      <c r="D959" s="58" t="s">
        <v>572</v>
      </c>
      <c r="E959" s="53">
        <v>24</v>
      </c>
      <c r="F959" s="9">
        <v>15.92</v>
      </c>
      <c r="G959" s="10">
        <v>16.329999999999998</v>
      </c>
      <c r="H959" s="54">
        <f t="shared" si="53"/>
        <v>391.91999999999996</v>
      </c>
      <c r="I959" s="55">
        <v>0</v>
      </c>
      <c r="J959" s="56">
        <f t="shared" si="51"/>
        <v>391.91999999999996</v>
      </c>
      <c r="K959" s="57">
        <f t="shared" si="52"/>
        <v>382.08</v>
      </c>
    </row>
    <row r="960" spans="1:11" ht="15" x14ac:dyDescent="0.2">
      <c r="A960" s="50" t="s">
        <v>730</v>
      </c>
      <c r="B960" s="51" t="s">
        <v>319</v>
      </c>
      <c r="C960" s="60"/>
      <c r="D960" s="58" t="s">
        <v>576</v>
      </c>
      <c r="E960" s="53">
        <v>12</v>
      </c>
      <c r="F960" s="9">
        <v>11.58</v>
      </c>
      <c r="G960" s="10">
        <v>12</v>
      </c>
      <c r="H960" s="54">
        <f t="shared" si="53"/>
        <v>144</v>
      </c>
      <c r="I960" s="55">
        <v>0</v>
      </c>
      <c r="J960" s="56">
        <f t="shared" si="51"/>
        <v>144</v>
      </c>
      <c r="K960" s="57">
        <f t="shared" si="52"/>
        <v>138.96</v>
      </c>
    </row>
    <row r="961" spans="1:13" ht="15" x14ac:dyDescent="0.2">
      <c r="A961" s="50" t="s">
        <v>730</v>
      </c>
      <c r="B961" s="51" t="s">
        <v>309</v>
      </c>
      <c r="C961" s="60"/>
      <c r="D961" s="58" t="s">
        <v>582</v>
      </c>
      <c r="E961" s="53">
        <v>12</v>
      </c>
      <c r="F961" s="9">
        <v>36</v>
      </c>
      <c r="G961" s="10">
        <v>37.33</v>
      </c>
      <c r="H961" s="54">
        <f t="shared" si="53"/>
        <v>447.96</v>
      </c>
      <c r="I961" s="55">
        <v>0</v>
      </c>
      <c r="J961" s="56">
        <f t="shared" si="51"/>
        <v>447.96</v>
      </c>
      <c r="K961" s="57">
        <f t="shared" si="52"/>
        <v>432</v>
      </c>
    </row>
    <row r="962" spans="1:13" ht="15" x14ac:dyDescent="0.2">
      <c r="A962" s="50" t="s">
        <v>730</v>
      </c>
      <c r="B962" s="51" t="s">
        <v>316</v>
      </c>
      <c r="C962" s="60" t="s">
        <v>754</v>
      </c>
      <c r="D962" s="58" t="s">
        <v>572</v>
      </c>
      <c r="E962" s="53">
        <v>120</v>
      </c>
      <c r="F962" s="9">
        <v>15.92</v>
      </c>
      <c r="G962" s="10">
        <v>16.329999999999998</v>
      </c>
      <c r="H962" s="54">
        <f t="shared" si="53"/>
        <v>1959.6</v>
      </c>
      <c r="I962" s="55">
        <v>0</v>
      </c>
      <c r="J962" s="56">
        <f t="shared" si="51"/>
        <v>1959.6</v>
      </c>
      <c r="K962" s="57">
        <f t="shared" si="52"/>
        <v>1910.4</v>
      </c>
    </row>
    <row r="963" spans="1:13" ht="15" x14ac:dyDescent="0.2">
      <c r="A963" s="50" t="s">
        <v>730</v>
      </c>
      <c r="B963" s="51" t="s">
        <v>336</v>
      </c>
      <c r="C963" s="60"/>
      <c r="D963" s="58" t="s">
        <v>627</v>
      </c>
      <c r="E963" s="53">
        <v>12</v>
      </c>
      <c r="F963" s="9">
        <v>11.58</v>
      </c>
      <c r="G963" s="10">
        <v>12</v>
      </c>
      <c r="H963" s="54">
        <f t="shared" si="53"/>
        <v>144</v>
      </c>
      <c r="I963" s="55">
        <v>0</v>
      </c>
      <c r="J963" s="56">
        <f t="shared" si="51"/>
        <v>144</v>
      </c>
      <c r="K963" s="57">
        <f t="shared" si="52"/>
        <v>138.96</v>
      </c>
    </row>
    <row r="964" spans="1:13" ht="15" x14ac:dyDescent="0.2">
      <c r="A964" s="50" t="s">
        <v>730</v>
      </c>
      <c r="B964" s="51" t="s">
        <v>320</v>
      </c>
      <c r="C964" s="60"/>
      <c r="D964" s="58" t="s">
        <v>585</v>
      </c>
      <c r="E964" s="53">
        <v>12</v>
      </c>
      <c r="F964" s="9">
        <v>11.58</v>
      </c>
      <c r="G964" s="10">
        <v>12</v>
      </c>
      <c r="H964" s="54">
        <f t="shared" si="53"/>
        <v>144</v>
      </c>
      <c r="I964" s="55">
        <v>0</v>
      </c>
      <c r="J964" s="56">
        <f t="shared" si="51"/>
        <v>144</v>
      </c>
      <c r="K964" s="57">
        <f t="shared" si="52"/>
        <v>138.96</v>
      </c>
    </row>
    <row r="965" spans="1:13" ht="15" x14ac:dyDescent="0.2">
      <c r="A965" s="50" t="s">
        <v>730</v>
      </c>
      <c r="B965" s="51" t="s">
        <v>319</v>
      </c>
      <c r="C965" s="60"/>
      <c r="D965" s="58" t="s">
        <v>576</v>
      </c>
      <c r="E965" s="53">
        <v>36</v>
      </c>
      <c r="F965" s="9">
        <v>11.58</v>
      </c>
      <c r="G965" s="10">
        <v>12</v>
      </c>
      <c r="H965" s="54">
        <f t="shared" si="53"/>
        <v>432</v>
      </c>
      <c r="I965" s="55">
        <v>0</v>
      </c>
      <c r="J965" s="56">
        <f t="shared" si="51"/>
        <v>432</v>
      </c>
      <c r="K965" s="57">
        <f t="shared" si="52"/>
        <v>416.88</v>
      </c>
    </row>
    <row r="966" spans="1:13" ht="15" x14ac:dyDescent="0.2">
      <c r="A966" s="50" t="s">
        <v>730</v>
      </c>
      <c r="B966" s="51" t="s">
        <v>316</v>
      </c>
      <c r="C966" s="60" t="s">
        <v>755</v>
      </c>
      <c r="D966" s="58" t="s">
        <v>572</v>
      </c>
      <c r="E966" s="53">
        <v>24</v>
      </c>
      <c r="F966" s="9">
        <v>15.92</v>
      </c>
      <c r="G966" s="10">
        <v>16.329999999999998</v>
      </c>
      <c r="H966" s="54">
        <f t="shared" si="53"/>
        <v>391.91999999999996</v>
      </c>
      <c r="I966" s="55">
        <v>0</v>
      </c>
      <c r="J966" s="56">
        <f t="shared" si="51"/>
        <v>391.91999999999996</v>
      </c>
      <c r="K966" s="57">
        <f t="shared" si="52"/>
        <v>382.08</v>
      </c>
    </row>
    <row r="967" spans="1:13" ht="15" x14ac:dyDescent="0.2">
      <c r="A967" s="50" t="s">
        <v>730</v>
      </c>
      <c r="B967" s="51" t="s">
        <v>317</v>
      </c>
      <c r="C967" s="60" t="s">
        <v>756</v>
      </c>
      <c r="D967" s="58" t="s">
        <v>580</v>
      </c>
      <c r="E967" s="53">
        <v>12</v>
      </c>
      <c r="F967" s="9">
        <v>59.17</v>
      </c>
      <c r="G967" s="10">
        <v>61</v>
      </c>
      <c r="H967" s="54">
        <f t="shared" si="53"/>
        <v>732</v>
      </c>
      <c r="I967" s="55">
        <v>0</v>
      </c>
      <c r="J967" s="56">
        <f t="shared" si="51"/>
        <v>732</v>
      </c>
      <c r="K967" s="57">
        <f t="shared" si="52"/>
        <v>710.04</v>
      </c>
      <c r="L967" s="2">
        <v>58928.52</v>
      </c>
      <c r="M967" s="2">
        <v>58928.52</v>
      </c>
    </row>
    <row r="968" spans="1:13" ht="15" x14ac:dyDescent="0.2">
      <c r="A968" s="50" t="s">
        <v>757</v>
      </c>
      <c r="B968" s="51" t="s">
        <v>317</v>
      </c>
      <c r="C968" s="60" t="s">
        <v>790</v>
      </c>
      <c r="D968" s="58" t="s">
        <v>580</v>
      </c>
      <c r="E968" s="53">
        <v>36</v>
      </c>
      <c r="F968" s="9">
        <v>59.17</v>
      </c>
      <c r="G968" s="10">
        <v>61</v>
      </c>
      <c r="H968" s="54">
        <f t="shared" si="53"/>
        <v>2196</v>
      </c>
      <c r="I968" s="55">
        <v>0</v>
      </c>
      <c r="J968" s="56">
        <f t="shared" si="51"/>
        <v>2196</v>
      </c>
      <c r="K968" s="57">
        <f t="shared" si="52"/>
        <v>2130.12</v>
      </c>
    </row>
    <row r="969" spans="1:13" ht="15" x14ac:dyDescent="0.2">
      <c r="A969" s="50" t="s">
        <v>757</v>
      </c>
      <c r="B969" s="51" t="s">
        <v>328</v>
      </c>
      <c r="C969" s="60"/>
      <c r="D969" s="58" t="s">
        <v>647</v>
      </c>
      <c r="E969" s="53">
        <v>6</v>
      </c>
      <c r="F969" s="9">
        <v>59.17</v>
      </c>
      <c r="G969" s="10">
        <v>61</v>
      </c>
      <c r="H969" s="54">
        <f t="shared" si="53"/>
        <v>366</v>
      </c>
      <c r="I969" s="55">
        <v>0</v>
      </c>
      <c r="J969" s="56">
        <f t="shared" si="51"/>
        <v>366</v>
      </c>
      <c r="K969" s="57">
        <f t="shared" ref="K969:K1050" si="54">E969*F969</f>
        <v>355.02</v>
      </c>
    </row>
    <row r="970" spans="1:13" ht="15" x14ac:dyDescent="0.2">
      <c r="A970" s="50" t="s">
        <v>757</v>
      </c>
      <c r="B970" s="51" t="s">
        <v>318</v>
      </c>
      <c r="C970" s="60"/>
      <c r="D970" s="58" t="s">
        <v>581</v>
      </c>
      <c r="E970" s="53">
        <v>6</v>
      </c>
      <c r="F970" s="9">
        <v>59.17</v>
      </c>
      <c r="G970" s="10">
        <v>61</v>
      </c>
      <c r="H970" s="54">
        <f t="shared" si="53"/>
        <v>366</v>
      </c>
      <c r="I970" s="55">
        <v>0</v>
      </c>
      <c r="J970" s="56">
        <f t="shared" si="51"/>
        <v>366</v>
      </c>
      <c r="K970" s="57">
        <f t="shared" si="54"/>
        <v>355.02</v>
      </c>
    </row>
    <row r="971" spans="1:13" ht="15" x14ac:dyDescent="0.2">
      <c r="A971" s="50" t="s">
        <v>757</v>
      </c>
      <c r="B971" s="51" t="s">
        <v>316</v>
      </c>
      <c r="C971" s="60"/>
      <c r="D971" s="58" t="s">
        <v>572</v>
      </c>
      <c r="E971" s="53">
        <v>60</v>
      </c>
      <c r="F971" s="9">
        <v>15.92</v>
      </c>
      <c r="G971" s="10">
        <v>16.329999999999998</v>
      </c>
      <c r="H971" s="54">
        <f t="shared" si="53"/>
        <v>979.8</v>
      </c>
      <c r="I971" s="55">
        <v>0</v>
      </c>
      <c r="J971" s="56">
        <f t="shared" ref="J971:J1034" si="55">(G971*E971)-I971</f>
        <v>979.8</v>
      </c>
      <c r="K971" s="57">
        <f t="shared" si="54"/>
        <v>955.2</v>
      </c>
    </row>
    <row r="972" spans="1:13" ht="15" x14ac:dyDescent="0.2">
      <c r="A972" s="50" t="s">
        <v>757</v>
      </c>
      <c r="B972" s="51" t="s">
        <v>319</v>
      </c>
      <c r="C972" s="60"/>
      <c r="D972" s="58" t="s">
        <v>576</v>
      </c>
      <c r="E972" s="53">
        <v>24</v>
      </c>
      <c r="F972" s="9">
        <v>11.58</v>
      </c>
      <c r="G972" s="10">
        <v>12</v>
      </c>
      <c r="H972" s="54">
        <f t="shared" si="53"/>
        <v>288</v>
      </c>
      <c r="I972" s="55">
        <v>0</v>
      </c>
      <c r="J972" s="56">
        <f t="shared" si="55"/>
        <v>288</v>
      </c>
      <c r="K972" s="57">
        <f t="shared" si="54"/>
        <v>277.92</v>
      </c>
    </row>
    <row r="973" spans="1:13" ht="15" x14ac:dyDescent="0.2">
      <c r="A973" s="50" t="s">
        <v>757</v>
      </c>
      <c r="B973" s="51" t="s">
        <v>320</v>
      </c>
      <c r="C973" s="60"/>
      <c r="D973" s="58" t="s">
        <v>585</v>
      </c>
      <c r="E973" s="53">
        <v>24</v>
      </c>
      <c r="F973" s="9">
        <v>11.58</v>
      </c>
      <c r="G973" s="10">
        <v>12</v>
      </c>
      <c r="H973" s="54">
        <f t="shared" si="53"/>
        <v>288</v>
      </c>
      <c r="I973" s="55">
        <v>0</v>
      </c>
      <c r="J973" s="56">
        <f t="shared" si="55"/>
        <v>288</v>
      </c>
      <c r="K973" s="57">
        <f t="shared" si="54"/>
        <v>277.92</v>
      </c>
    </row>
    <row r="974" spans="1:13" ht="15" x14ac:dyDescent="0.2">
      <c r="A974" s="50" t="s">
        <v>757</v>
      </c>
      <c r="B974" s="51" t="s">
        <v>336</v>
      </c>
      <c r="C974" s="60"/>
      <c r="D974" s="58" t="s">
        <v>627</v>
      </c>
      <c r="E974" s="53">
        <v>24</v>
      </c>
      <c r="F974" s="9">
        <v>11.58</v>
      </c>
      <c r="G974" s="10">
        <v>12</v>
      </c>
      <c r="H974" s="54">
        <f t="shared" si="53"/>
        <v>288</v>
      </c>
      <c r="I974" s="55">
        <v>0</v>
      </c>
      <c r="J974" s="56">
        <f t="shared" si="55"/>
        <v>288</v>
      </c>
      <c r="K974" s="57">
        <f t="shared" si="54"/>
        <v>277.92</v>
      </c>
    </row>
    <row r="975" spans="1:13" ht="15" x14ac:dyDescent="0.2">
      <c r="A975" s="50" t="s">
        <v>757</v>
      </c>
      <c r="B975" s="51" t="s">
        <v>316</v>
      </c>
      <c r="C975" s="60" t="s">
        <v>791</v>
      </c>
      <c r="D975" s="58" t="s">
        <v>572</v>
      </c>
      <c r="E975" s="53">
        <v>24</v>
      </c>
      <c r="F975" s="9">
        <v>15.92</v>
      </c>
      <c r="G975" s="10">
        <v>16.329999999999998</v>
      </c>
      <c r="H975" s="54">
        <f t="shared" si="53"/>
        <v>391.91999999999996</v>
      </c>
      <c r="I975" s="55">
        <v>0</v>
      </c>
      <c r="J975" s="56">
        <f t="shared" si="55"/>
        <v>391.91999999999996</v>
      </c>
      <c r="K975" s="57">
        <f t="shared" si="54"/>
        <v>382.08</v>
      </c>
    </row>
    <row r="976" spans="1:13" ht="15" x14ac:dyDescent="0.2">
      <c r="A976" s="50" t="s">
        <v>757</v>
      </c>
      <c r="B976" s="51" t="s">
        <v>317</v>
      </c>
      <c r="C976" s="60"/>
      <c r="D976" s="58" t="s">
        <v>580</v>
      </c>
      <c r="E976" s="53">
        <v>6</v>
      </c>
      <c r="F976" s="9">
        <v>59.17</v>
      </c>
      <c r="G976" s="10">
        <v>61</v>
      </c>
      <c r="H976" s="54">
        <f t="shared" si="53"/>
        <v>366</v>
      </c>
      <c r="I976" s="55">
        <v>0</v>
      </c>
      <c r="J976" s="56">
        <f t="shared" si="55"/>
        <v>366</v>
      </c>
      <c r="K976" s="57">
        <f t="shared" si="54"/>
        <v>355.02</v>
      </c>
    </row>
    <row r="977" spans="1:11" ht="15" x14ac:dyDescent="0.2">
      <c r="A977" s="50" t="s">
        <v>757</v>
      </c>
      <c r="B977" s="51" t="s">
        <v>317</v>
      </c>
      <c r="C977" s="60" t="s">
        <v>792</v>
      </c>
      <c r="D977" s="58" t="s">
        <v>580</v>
      </c>
      <c r="E977" s="53">
        <v>36</v>
      </c>
      <c r="F977" s="9">
        <v>59.17</v>
      </c>
      <c r="G977" s="10">
        <v>61</v>
      </c>
      <c r="H977" s="54">
        <f t="shared" si="53"/>
        <v>2196</v>
      </c>
      <c r="I977" s="55">
        <v>0</v>
      </c>
      <c r="J977" s="56">
        <f t="shared" si="55"/>
        <v>2196</v>
      </c>
      <c r="K977" s="57">
        <f t="shared" si="54"/>
        <v>2130.12</v>
      </c>
    </row>
    <row r="978" spans="1:11" ht="15" x14ac:dyDescent="0.2">
      <c r="A978" s="50" t="s">
        <v>757</v>
      </c>
      <c r="B978" s="51" t="s">
        <v>328</v>
      </c>
      <c r="C978" s="60"/>
      <c r="D978" s="58" t="s">
        <v>647</v>
      </c>
      <c r="E978" s="53">
        <v>12</v>
      </c>
      <c r="F978" s="9">
        <v>59.17</v>
      </c>
      <c r="G978" s="10">
        <v>61</v>
      </c>
      <c r="H978" s="54">
        <f t="shared" si="53"/>
        <v>732</v>
      </c>
      <c r="I978" s="55">
        <v>0</v>
      </c>
      <c r="J978" s="56">
        <f t="shared" si="55"/>
        <v>732</v>
      </c>
      <c r="K978" s="57">
        <f t="shared" si="54"/>
        <v>710.04</v>
      </c>
    </row>
    <row r="979" spans="1:11" ht="15" x14ac:dyDescent="0.2">
      <c r="A979" s="50" t="s">
        <v>757</v>
      </c>
      <c r="B979" s="51" t="s">
        <v>318</v>
      </c>
      <c r="C979" s="60"/>
      <c r="D979" s="58" t="s">
        <v>581</v>
      </c>
      <c r="E979" s="53">
        <v>12</v>
      </c>
      <c r="F979" s="9">
        <v>59.17</v>
      </c>
      <c r="G979" s="10">
        <v>61</v>
      </c>
      <c r="H979" s="54">
        <f t="shared" si="53"/>
        <v>732</v>
      </c>
      <c r="I979" s="55">
        <v>0</v>
      </c>
      <c r="J979" s="56">
        <f t="shared" si="55"/>
        <v>732</v>
      </c>
      <c r="K979" s="57">
        <f t="shared" si="54"/>
        <v>710.04</v>
      </c>
    </row>
    <row r="980" spans="1:11" ht="15" x14ac:dyDescent="0.2">
      <c r="A980" s="50" t="s">
        <v>757</v>
      </c>
      <c r="B980" s="51" t="s">
        <v>316</v>
      </c>
      <c r="C980" s="60"/>
      <c r="D980" s="58" t="s">
        <v>572</v>
      </c>
      <c r="E980" s="53">
        <v>36</v>
      </c>
      <c r="F980" s="9">
        <v>15.92</v>
      </c>
      <c r="G980" s="10">
        <v>16.329999999999998</v>
      </c>
      <c r="H980" s="54">
        <f t="shared" si="53"/>
        <v>587.87999999999988</v>
      </c>
      <c r="I980" s="55">
        <v>0</v>
      </c>
      <c r="J980" s="56">
        <f t="shared" si="55"/>
        <v>587.87999999999988</v>
      </c>
      <c r="K980" s="57">
        <f t="shared" si="54"/>
        <v>573.12</v>
      </c>
    </row>
    <row r="981" spans="1:11" ht="15" x14ac:dyDescent="0.2">
      <c r="A981" s="50" t="s">
        <v>757</v>
      </c>
      <c r="B981" s="51" t="s">
        <v>335</v>
      </c>
      <c r="C981" s="60" t="s">
        <v>793</v>
      </c>
      <c r="D981" s="58" t="s">
        <v>575</v>
      </c>
      <c r="E981" s="53">
        <v>24</v>
      </c>
      <c r="F981" s="9">
        <v>7.04</v>
      </c>
      <c r="G981" s="10">
        <v>8.17</v>
      </c>
      <c r="H981" s="54">
        <f t="shared" si="53"/>
        <v>196.07999999999998</v>
      </c>
      <c r="I981" s="55">
        <v>0</v>
      </c>
      <c r="J981" s="56">
        <f t="shared" si="55"/>
        <v>196.07999999999998</v>
      </c>
      <c r="K981" s="57">
        <f t="shared" si="54"/>
        <v>168.96</v>
      </c>
    </row>
    <row r="982" spans="1:11" ht="15" x14ac:dyDescent="0.2">
      <c r="A982" s="50" t="s">
        <v>757</v>
      </c>
      <c r="B982" s="51" t="s">
        <v>329</v>
      </c>
      <c r="C982" s="60"/>
      <c r="D982" s="58" t="s">
        <v>578</v>
      </c>
      <c r="E982" s="53">
        <v>12</v>
      </c>
      <c r="F982" s="9">
        <v>21.33</v>
      </c>
      <c r="G982" s="10">
        <v>23.58</v>
      </c>
      <c r="H982" s="54">
        <f t="shared" si="53"/>
        <v>282.95999999999998</v>
      </c>
      <c r="I982" s="55">
        <v>0</v>
      </c>
      <c r="J982" s="56">
        <f t="shared" si="55"/>
        <v>282.95999999999998</v>
      </c>
      <c r="K982" s="57">
        <f t="shared" si="54"/>
        <v>255.95999999999998</v>
      </c>
    </row>
    <row r="983" spans="1:11" ht="15" x14ac:dyDescent="0.2">
      <c r="A983" s="50" t="s">
        <v>757</v>
      </c>
      <c r="B983" s="51" t="s">
        <v>325</v>
      </c>
      <c r="C983" s="60"/>
      <c r="D983" s="58" t="s">
        <v>579</v>
      </c>
      <c r="E983" s="53">
        <v>12</v>
      </c>
      <c r="F983" s="9">
        <v>21.33</v>
      </c>
      <c r="G983" s="10">
        <v>23.58</v>
      </c>
      <c r="H983" s="54">
        <f t="shared" si="53"/>
        <v>282.95999999999998</v>
      </c>
      <c r="I983" s="55">
        <v>0</v>
      </c>
      <c r="J983" s="56">
        <f t="shared" si="55"/>
        <v>282.95999999999998</v>
      </c>
      <c r="K983" s="57">
        <f t="shared" si="54"/>
        <v>255.95999999999998</v>
      </c>
    </row>
    <row r="984" spans="1:11" ht="15" x14ac:dyDescent="0.2">
      <c r="A984" s="50" t="s">
        <v>757</v>
      </c>
      <c r="B984" s="51" t="s">
        <v>329</v>
      </c>
      <c r="C984" s="60" t="s">
        <v>794</v>
      </c>
      <c r="D984" s="58" t="s">
        <v>578</v>
      </c>
      <c r="E984" s="53">
        <v>6</v>
      </c>
      <c r="F984" s="9">
        <v>21.33</v>
      </c>
      <c r="G984" s="10">
        <v>23.58</v>
      </c>
      <c r="H984" s="54">
        <f t="shared" si="53"/>
        <v>141.47999999999999</v>
      </c>
      <c r="I984" s="55">
        <v>0</v>
      </c>
      <c r="J984" s="56">
        <f t="shared" si="55"/>
        <v>141.47999999999999</v>
      </c>
      <c r="K984" s="57">
        <f t="shared" si="54"/>
        <v>127.97999999999999</v>
      </c>
    </row>
    <row r="985" spans="1:11" ht="15" x14ac:dyDescent="0.2">
      <c r="A985" s="50" t="s">
        <v>757</v>
      </c>
      <c r="B985" s="51" t="s">
        <v>325</v>
      </c>
      <c r="C985" s="60"/>
      <c r="D985" s="58" t="s">
        <v>579</v>
      </c>
      <c r="E985" s="53">
        <v>6</v>
      </c>
      <c r="F985" s="9">
        <v>21.33</v>
      </c>
      <c r="G985" s="10">
        <v>23.58</v>
      </c>
      <c r="H985" s="54">
        <f t="shared" si="53"/>
        <v>141.47999999999999</v>
      </c>
      <c r="I985" s="55">
        <v>0</v>
      </c>
      <c r="J985" s="56">
        <f t="shared" si="55"/>
        <v>141.47999999999999</v>
      </c>
      <c r="K985" s="57">
        <f t="shared" si="54"/>
        <v>127.97999999999999</v>
      </c>
    </row>
    <row r="986" spans="1:11" ht="15" x14ac:dyDescent="0.2">
      <c r="A986" s="50" t="s">
        <v>757</v>
      </c>
      <c r="B986" s="51" t="s">
        <v>316</v>
      </c>
      <c r="C986" s="60"/>
      <c r="D986" s="58" t="s">
        <v>572</v>
      </c>
      <c r="E986" s="53">
        <v>36</v>
      </c>
      <c r="F986" s="9">
        <v>15.92</v>
      </c>
      <c r="G986" s="10">
        <v>16.329999999999998</v>
      </c>
      <c r="H986" s="54">
        <f t="shared" si="53"/>
        <v>587.87999999999988</v>
      </c>
      <c r="I986" s="55">
        <v>0</v>
      </c>
      <c r="J986" s="56">
        <f t="shared" si="55"/>
        <v>587.87999999999988</v>
      </c>
      <c r="K986" s="57">
        <f t="shared" si="54"/>
        <v>573.12</v>
      </c>
    </row>
    <row r="987" spans="1:11" ht="15" x14ac:dyDescent="0.2">
      <c r="A987" s="50" t="s">
        <v>757</v>
      </c>
      <c r="B987" s="51" t="s">
        <v>331</v>
      </c>
      <c r="C987" s="60" t="s">
        <v>795</v>
      </c>
      <c r="D987" s="58" t="s">
        <v>473</v>
      </c>
      <c r="E987" s="53">
        <v>48</v>
      </c>
      <c r="F987" s="9">
        <v>8.7100000000000009</v>
      </c>
      <c r="G987" s="10">
        <v>9.58</v>
      </c>
      <c r="H987" s="54">
        <f t="shared" si="53"/>
        <v>459.84000000000003</v>
      </c>
      <c r="I987" s="55">
        <v>0</v>
      </c>
      <c r="J987" s="56">
        <f t="shared" si="55"/>
        <v>459.84000000000003</v>
      </c>
      <c r="K987" s="57">
        <f t="shared" si="54"/>
        <v>418.08000000000004</v>
      </c>
    </row>
    <row r="988" spans="1:11" ht="15" x14ac:dyDescent="0.2">
      <c r="A988" s="50" t="s">
        <v>757</v>
      </c>
      <c r="B988" s="51" t="s">
        <v>332</v>
      </c>
      <c r="C988" s="60"/>
      <c r="D988" s="58" t="s">
        <v>474</v>
      </c>
      <c r="E988" s="53">
        <v>24</v>
      </c>
      <c r="F988" s="9">
        <v>14.58</v>
      </c>
      <c r="G988" s="10">
        <v>16.75</v>
      </c>
      <c r="H988" s="54">
        <f t="shared" si="53"/>
        <v>402</v>
      </c>
      <c r="I988" s="55">
        <v>0</v>
      </c>
      <c r="J988" s="56">
        <f t="shared" si="55"/>
        <v>402</v>
      </c>
      <c r="K988" s="57">
        <f t="shared" si="54"/>
        <v>349.92</v>
      </c>
    </row>
    <row r="989" spans="1:11" ht="15" x14ac:dyDescent="0.2">
      <c r="A989" s="50" t="s">
        <v>757</v>
      </c>
      <c r="B989" s="51" t="s">
        <v>316</v>
      </c>
      <c r="C989" s="60"/>
      <c r="D989" s="58" t="s">
        <v>572</v>
      </c>
      <c r="E989" s="53">
        <v>48</v>
      </c>
      <c r="F989" s="9">
        <v>15.92</v>
      </c>
      <c r="G989" s="10">
        <v>16.329999999999998</v>
      </c>
      <c r="H989" s="54">
        <f t="shared" si="53"/>
        <v>783.83999999999992</v>
      </c>
      <c r="I989" s="55">
        <v>0</v>
      </c>
      <c r="J989" s="56">
        <f t="shared" si="55"/>
        <v>783.83999999999992</v>
      </c>
      <c r="K989" s="57">
        <f t="shared" si="54"/>
        <v>764.16</v>
      </c>
    </row>
    <row r="990" spans="1:11" ht="15" x14ac:dyDescent="0.2">
      <c r="A990" s="50" t="s">
        <v>757</v>
      </c>
      <c r="B990" s="51" t="s">
        <v>319</v>
      </c>
      <c r="C990" s="60"/>
      <c r="D990" s="58" t="s">
        <v>576</v>
      </c>
      <c r="E990" s="53">
        <v>24</v>
      </c>
      <c r="F990" s="9">
        <v>11.58</v>
      </c>
      <c r="G990" s="10">
        <v>12</v>
      </c>
      <c r="H990" s="54">
        <f t="shared" si="53"/>
        <v>288</v>
      </c>
      <c r="I990" s="55">
        <v>0</v>
      </c>
      <c r="J990" s="56">
        <f t="shared" si="55"/>
        <v>288</v>
      </c>
      <c r="K990" s="57">
        <f t="shared" si="54"/>
        <v>277.92</v>
      </c>
    </row>
    <row r="991" spans="1:11" ht="15" x14ac:dyDescent="0.2">
      <c r="A991" s="50" t="s">
        <v>757</v>
      </c>
      <c r="B991" s="51" t="s">
        <v>317</v>
      </c>
      <c r="C991" s="60"/>
      <c r="D991" s="58" t="s">
        <v>580</v>
      </c>
      <c r="E991" s="53">
        <v>12</v>
      </c>
      <c r="F991" s="9">
        <v>59.17</v>
      </c>
      <c r="G991" s="10">
        <v>61</v>
      </c>
      <c r="H991" s="54">
        <f t="shared" si="53"/>
        <v>732</v>
      </c>
      <c r="I991" s="55">
        <v>0</v>
      </c>
      <c r="J991" s="56">
        <f t="shared" si="55"/>
        <v>732</v>
      </c>
      <c r="K991" s="57">
        <f t="shared" si="54"/>
        <v>710.04</v>
      </c>
    </row>
    <row r="992" spans="1:11" ht="15" x14ac:dyDescent="0.2">
      <c r="A992" s="50" t="s">
        <v>757</v>
      </c>
      <c r="B992" s="51" t="s">
        <v>335</v>
      </c>
      <c r="C992" s="60"/>
      <c r="D992" s="58" t="s">
        <v>575</v>
      </c>
      <c r="E992" s="53">
        <v>48</v>
      </c>
      <c r="F992" s="9">
        <v>7.04</v>
      </c>
      <c r="G992" s="10">
        <v>8.17</v>
      </c>
      <c r="H992" s="54">
        <f t="shared" si="53"/>
        <v>392.15999999999997</v>
      </c>
      <c r="I992" s="55">
        <v>0</v>
      </c>
      <c r="J992" s="56">
        <f t="shared" si="55"/>
        <v>392.15999999999997</v>
      </c>
      <c r="K992" s="57">
        <f t="shared" si="54"/>
        <v>337.92</v>
      </c>
    </row>
    <row r="993" spans="1:11" ht="15" x14ac:dyDescent="0.2">
      <c r="A993" s="50" t="s">
        <v>757</v>
      </c>
      <c r="B993" s="51" t="s">
        <v>313</v>
      </c>
      <c r="C993" s="60"/>
      <c r="D993" s="58" t="s">
        <v>577</v>
      </c>
      <c r="E993" s="53">
        <v>24</v>
      </c>
      <c r="F993" s="9">
        <v>7.04</v>
      </c>
      <c r="G993" s="10">
        <v>8.17</v>
      </c>
      <c r="H993" s="54">
        <f t="shared" si="53"/>
        <v>196.07999999999998</v>
      </c>
      <c r="I993" s="55">
        <v>0</v>
      </c>
      <c r="J993" s="56">
        <f t="shared" si="55"/>
        <v>196.07999999999998</v>
      </c>
      <c r="K993" s="57">
        <f t="shared" si="54"/>
        <v>168.96</v>
      </c>
    </row>
    <row r="994" spans="1:11" ht="15" x14ac:dyDescent="0.2">
      <c r="A994" s="50" t="s">
        <v>757</v>
      </c>
      <c r="B994" s="51" t="s">
        <v>329</v>
      </c>
      <c r="C994" s="60" t="s">
        <v>796</v>
      </c>
      <c r="D994" s="58" t="s">
        <v>578</v>
      </c>
      <c r="E994" s="53">
        <v>6</v>
      </c>
      <c r="F994" s="9">
        <v>21.33</v>
      </c>
      <c r="G994" s="10">
        <v>23.58</v>
      </c>
      <c r="H994" s="54">
        <f t="shared" si="53"/>
        <v>141.47999999999999</v>
      </c>
      <c r="I994" s="55">
        <v>0</v>
      </c>
      <c r="J994" s="56">
        <f t="shared" si="55"/>
        <v>141.47999999999999</v>
      </c>
      <c r="K994" s="57">
        <f t="shared" si="54"/>
        <v>127.97999999999999</v>
      </c>
    </row>
    <row r="995" spans="1:11" ht="15" x14ac:dyDescent="0.2">
      <c r="A995" s="50" t="s">
        <v>757</v>
      </c>
      <c r="B995" s="51" t="s">
        <v>316</v>
      </c>
      <c r="C995" s="60"/>
      <c r="D995" s="58" t="s">
        <v>572</v>
      </c>
      <c r="E995" s="53">
        <v>24</v>
      </c>
      <c r="F995" s="9">
        <v>15.92</v>
      </c>
      <c r="G995" s="10">
        <v>16.329999999999998</v>
      </c>
      <c r="H995" s="54">
        <f t="shared" si="53"/>
        <v>391.91999999999996</v>
      </c>
      <c r="I995" s="55">
        <v>0</v>
      </c>
      <c r="J995" s="56">
        <f t="shared" si="55"/>
        <v>391.91999999999996</v>
      </c>
      <c r="K995" s="57">
        <f t="shared" si="54"/>
        <v>382.08</v>
      </c>
    </row>
    <row r="996" spans="1:11" ht="15" x14ac:dyDescent="0.2">
      <c r="A996" s="50" t="s">
        <v>757</v>
      </c>
      <c r="B996" s="51" t="s">
        <v>335</v>
      </c>
      <c r="C996" s="60"/>
      <c r="D996" s="58" t="s">
        <v>575</v>
      </c>
      <c r="E996" s="53">
        <v>60</v>
      </c>
      <c r="F996" s="9">
        <v>7.04</v>
      </c>
      <c r="G996" s="10">
        <v>8.17</v>
      </c>
      <c r="H996" s="54">
        <f t="shared" si="53"/>
        <v>490.2</v>
      </c>
      <c r="I996" s="55">
        <v>0</v>
      </c>
      <c r="J996" s="56">
        <f t="shared" si="55"/>
        <v>490.2</v>
      </c>
      <c r="K996" s="57">
        <f t="shared" si="54"/>
        <v>422.4</v>
      </c>
    </row>
    <row r="997" spans="1:11" ht="15" x14ac:dyDescent="0.2">
      <c r="A997" s="50" t="s">
        <v>757</v>
      </c>
      <c r="B997" s="51" t="s">
        <v>313</v>
      </c>
      <c r="C997" s="60"/>
      <c r="D997" s="58" t="s">
        <v>577</v>
      </c>
      <c r="E997" s="53">
        <v>12</v>
      </c>
      <c r="F997" s="9">
        <v>7.04</v>
      </c>
      <c r="G997" s="10">
        <v>8.17</v>
      </c>
      <c r="H997" s="54">
        <f t="shared" si="53"/>
        <v>98.039999999999992</v>
      </c>
      <c r="I997" s="55">
        <v>0</v>
      </c>
      <c r="J997" s="56">
        <f t="shared" si="55"/>
        <v>98.039999999999992</v>
      </c>
      <c r="K997" s="57">
        <f t="shared" si="54"/>
        <v>84.48</v>
      </c>
    </row>
    <row r="998" spans="1:11" ht="15" x14ac:dyDescent="0.2">
      <c r="A998" s="50" t="s">
        <v>757</v>
      </c>
      <c r="B998" s="51" t="s">
        <v>317</v>
      </c>
      <c r="C998" s="60"/>
      <c r="D998" s="58" t="s">
        <v>580</v>
      </c>
      <c r="E998" s="53">
        <v>4</v>
      </c>
      <c r="F998" s="9">
        <v>59.17</v>
      </c>
      <c r="G998" s="10">
        <v>61</v>
      </c>
      <c r="H998" s="54">
        <f t="shared" si="53"/>
        <v>244</v>
      </c>
      <c r="I998" s="55">
        <v>0</v>
      </c>
      <c r="J998" s="56">
        <f t="shared" si="55"/>
        <v>244</v>
      </c>
      <c r="K998" s="57">
        <f t="shared" si="54"/>
        <v>236.68</v>
      </c>
    </row>
    <row r="999" spans="1:11" ht="15" x14ac:dyDescent="0.2">
      <c r="A999" s="50" t="s">
        <v>757</v>
      </c>
      <c r="B999" s="51" t="s">
        <v>335</v>
      </c>
      <c r="C999" s="60" t="s">
        <v>797</v>
      </c>
      <c r="D999" s="58" t="s">
        <v>575</v>
      </c>
      <c r="E999" s="53">
        <v>48</v>
      </c>
      <c r="F999" s="9">
        <v>7.04</v>
      </c>
      <c r="G999" s="10">
        <v>8.17</v>
      </c>
      <c r="H999" s="54">
        <f t="shared" si="53"/>
        <v>392.15999999999997</v>
      </c>
      <c r="I999" s="55">
        <v>0.16</v>
      </c>
      <c r="J999" s="56">
        <f t="shared" si="55"/>
        <v>391.99999999999994</v>
      </c>
      <c r="K999" s="57">
        <f t="shared" si="54"/>
        <v>337.92</v>
      </c>
    </row>
    <row r="1000" spans="1:11" ht="15" x14ac:dyDescent="0.2">
      <c r="A1000" s="50" t="s">
        <v>757</v>
      </c>
      <c r="B1000" s="51" t="s">
        <v>318</v>
      </c>
      <c r="C1000" s="60"/>
      <c r="D1000" s="58" t="s">
        <v>581</v>
      </c>
      <c r="E1000" s="53">
        <v>12</v>
      </c>
      <c r="F1000" s="9">
        <v>59.17</v>
      </c>
      <c r="G1000" s="10">
        <v>61</v>
      </c>
      <c r="H1000" s="54">
        <f t="shared" si="53"/>
        <v>732</v>
      </c>
      <c r="I1000" s="55">
        <v>0</v>
      </c>
      <c r="J1000" s="56">
        <f t="shared" si="55"/>
        <v>732</v>
      </c>
      <c r="K1000" s="57">
        <f t="shared" si="54"/>
        <v>710.04</v>
      </c>
    </row>
    <row r="1001" spans="1:11" ht="15" x14ac:dyDescent="0.2">
      <c r="A1001" s="50" t="s">
        <v>757</v>
      </c>
      <c r="B1001" s="51" t="s">
        <v>316</v>
      </c>
      <c r="C1001" s="60" t="s">
        <v>798</v>
      </c>
      <c r="D1001" s="58" t="s">
        <v>572</v>
      </c>
      <c r="E1001" s="53">
        <v>12</v>
      </c>
      <c r="F1001" s="9">
        <v>15.92</v>
      </c>
      <c r="G1001" s="10">
        <v>16.329999999999998</v>
      </c>
      <c r="H1001" s="54">
        <f t="shared" si="53"/>
        <v>195.95999999999998</v>
      </c>
      <c r="I1001" s="55">
        <v>0</v>
      </c>
      <c r="J1001" s="56">
        <f t="shared" si="55"/>
        <v>195.95999999999998</v>
      </c>
      <c r="K1001" s="57">
        <f t="shared" si="54"/>
        <v>191.04</v>
      </c>
    </row>
    <row r="1002" spans="1:11" ht="15" x14ac:dyDescent="0.2">
      <c r="A1002" s="50" t="s">
        <v>757</v>
      </c>
      <c r="B1002" s="51" t="s">
        <v>317</v>
      </c>
      <c r="C1002" s="60"/>
      <c r="D1002" s="58" t="s">
        <v>580</v>
      </c>
      <c r="E1002" s="53">
        <v>2</v>
      </c>
      <c r="F1002" s="9">
        <v>59.17</v>
      </c>
      <c r="G1002" s="10">
        <v>61</v>
      </c>
      <c r="H1002" s="54">
        <f t="shared" si="53"/>
        <v>122</v>
      </c>
      <c r="I1002" s="55">
        <v>0</v>
      </c>
      <c r="J1002" s="56">
        <f t="shared" si="55"/>
        <v>122</v>
      </c>
      <c r="K1002" s="57">
        <f t="shared" si="54"/>
        <v>118.34</v>
      </c>
    </row>
    <row r="1003" spans="1:11" ht="15" x14ac:dyDescent="0.2">
      <c r="A1003" s="50" t="s">
        <v>757</v>
      </c>
      <c r="B1003" s="51" t="s">
        <v>313</v>
      </c>
      <c r="C1003" s="60" t="s">
        <v>799</v>
      </c>
      <c r="D1003" s="58" t="s">
        <v>577</v>
      </c>
      <c r="E1003" s="53">
        <v>12</v>
      </c>
      <c r="F1003" s="9">
        <v>7.04</v>
      </c>
      <c r="G1003" s="10">
        <v>8.17</v>
      </c>
      <c r="H1003" s="54">
        <f t="shared" si="53"/>
        <v>98.039999999999992</v>
      </c>
      <c r="I1003" s="55">
        <v>0</v>
      </c>
      <c r="J1003" s="56">
        <f t="shared" si="55"/>
        <v>98.039999999999992</v>
      </c>
      <c r="K1003" s="57">
        <f t="shared" ref="K1003:K1021" si="56">E1003*F1003</f>
        <v>84.48</v>
      </c>
    </row>
    <row r="1004" spans="1:11" ht="15" x14ac:dyDescent="0.2">
      <c r="A1004" s="50" t="s">
        <v>757</v>
      </c>
      <c r="B1004" s="51" t="s">
        <v>326</v>
      </c>
      <c r="C1004" s="60"/>
      <c r="D1004" s="58" t="s">
        <v>626</v>
      </c>
      <c r="E1004" s="53">
        <v>12</v>
      </c>
      <c r="F1004" s="9">
        <v>7.04</v>
      </c>
      <c r="G1004" s="10">
        <v>8.17</v>
      </c>
      <c r="H1004" s="54">
        <f t="shared" si="53"/>
        <v>98.039999999999992</v>
      </c>
      <c r="I1004" s="55">
        <v>0</v>
      </c>
      <c r="J1004" s="56">
        <f t="shared" si="55"/>
        <v>98.039999999999992</v>
      </c>
      <c r="K1004" s="57">
        <f t="shared" si="56"/>
        <v>84.48</v>
      </c>
    </row>
    <row r="1005" spans="1:11" ht="15" x14ac:dyDescent="0.2">
      <c r="A1005" s="50" t="s">
        <v>757</v>
      </c>
      <c r="B1005" s="51" t="s">
        <v>335</v>
      </c>
      <c r="C1005" s="60"/>
      <c r="D1005" s="58" t="s">
        <v>575</v>
      </c>
      <c r="E1005" s="53">
        <v>96</v>
      </c>
      <c r="F1005" s="9">
        <v>7.04</v>
      </c>
      <c r="G1005" s="10">
        <v>8.17</v>
      </c>
      <c r="H1005" s="54">
        <f t="shared" si="53"/>
        <v>784.31999999999994</v>
      </c>
      <c r="I1005" s="55">
        <v>0.4</v>
      </c>
      <c r="J1005" s="56">
        <f t="shared" si="55"/>
        <v>783.92</v>
      </c>
      <c r="K1005" s="57">
        <f t="shared" si="56"/>
        <v>675.84</v>
      </c>
    </row>
    <row r="1006" spans="1:11" ht="15" x14ac:dyDescent="0.2">
      <c r="A1006" s="50" t="s">
        <v>757</v>
      </c>
      <c r="B1006" s="51" t="s">
        <v>317</v>
      </c>
      <c r="C1006" s="60" t="s">
        <v>800</v>
      </c>
      <c r="D1006" s="58" t="s">
        <v>580</v>
      </c>
      <c r="E1006" s="53">
        <v>12</v>
      </c>
      <c r="F1006" s="9">
        <v>59.17</v>
      </c>
      <c r="G1006" s="10">
        <v>61</v>
      </c>
      <c r="H1006" s="54">
        <f t="shared" si="53"/>
        <v>732</v>
      </c>
      <c r="I1006" s="55">
        <v>0</v>
      </c>
      <c r="J1006" s="56">
        <f t="shared" si="55"/>
        <v>732</v>
      </c>
      <c r="K1006" s="57">
        <f t="shared" si="56"/>
        <v>710.04</v>
      </c>
    </row>
    <row r="1007" spans="1:11" ht="15" x14ac:dyDescent="0.2">
      <c r="A1007" s="50" t="s">
        <v>757</v>
      </c>
      <c r="B1007" s="51" t="s">
        <v>316</v>
      </c>
      <c r="C1007" s="60"/>
      <c r="D1007" s="58" t="s">
        <v>572</v>
      </c>
      <c r="E1007" s="53">
        <v>12</v>
      </c>
      <c r="F1007" s="9">
        <v>15.92</v>
      </c>
      <c r="G1007" s="10">
        <v>16.329999999999998</v>
      </c>
      <c r="H1007" s="54">
        <f t="shared" si="53"/>
        <v>195.95999999999998</v>
      </c>
      <c r="I1007" s="55">
        <v>0</v>
      </c>
      <c r="J1007" s="56">
        <f t="shared" si="55"/>
        <v>195.95999999999998</v>
      </c>
      <c r="K1007" s="57">
        <f t="shared" si="56"/>
        <v>191.04</v>
      </c>
    </row>
    <row r="1008" spans="1:11" ht="15" x14ac:dyDescent="0.2">
      <c r="A1008" s="50" t="s">
        <v>757</v>
      </c>
      <c r="B1008" s="51" t="s">
        <v>316</v>
      </c>
      <c r="C1008" s="60" t="s">
        <v>801</v>
      </c>
      <c r="D1008" s="58" t="s">
        <v>572</v>
      </c>
      <c r="E1008" s="53">
        <v>48</v>
      </c>
      <c r="F1008" s="9">
        <v>15.92</v>
      </c>
      <c r="G1008" s="10">
        <v>16.329999999999998</v>
      </c>
      <c r="H1008" s="54">
        <f t="shared" si="53"/>
        <v>783.83999999999992</v>
      </c>
      <c r="I1008" s="55">
        <v>0</v>
      </c>
      <c r="J1008" s="56">
        <f t="shared" si="55"/>
        <v>783.83999999999992</v>
      </c>
      <c r="K1008" s="57">
        <f t="shared" si="56"/>
        <v>764.16</v>
      </c>
    </row>
    <row r="1009" spans="1:11" ht="15" x14ac:dyDescent="0.2">
      <c r="A1009" s="50" t="s">
        <v>757</v>
      </c>
      <c r="B1009" s="51" t="s">
        <v>317</v>
      </c>
      <c r="C1009" s="60"/>
      <c r="D1009" s="58" t="s">
        <v>580</v>
      </c>
      <c r="E1009" s="53">
        <v>48</v>
      </c>
      <c r="F1009" s="9">
        <v>59.17</v>
      </c>
      <c r="G1009" s="10">
        <v>61</v>
      </c>
      <c r="H1009" s="54">
        <f t="shared" si="53"/>
        <v>2928</v>
      </c>
      <c r="I1009" s="55">
        <v>0</v>
      </c>
      <c r="J1009" s="56">
        <f t="shared" si="55"/>
        <v>2928</v>
      </c>
      <c r="K1009" s="57">
        <f t="shared" si="56"/>
        <v>2840.16</v>
      </c>
    </row>
    <row r="1010" spans="1:11" ht="15" x14ac:dyDescent="0.2">
      <c r="A1010" s="50" t="s">
        <v>757</v>
      </c>
      <c r="B1010" s="51" t="s">
        <v>313</v>
      </c>
      <c r="C1010" s="60" t="s">
        <v>802</v>
      </c>
      <c r="D1010" s="58" t="s">
        <v>577</v>
      </c>
      <c r="E1010" s="53">
        <v>144</v>
      </c>
      <c r="F1010" s="9">
        <v>7.04</v>
      </c>
      <c r="G1010" s="10">
        <v>8.17</v>
      </c>
      <c r="H1010" s="54">
        <f t="shared" si="53"/>
        <v>1176.48</v>
      </c>
      <c r="I1010" s="55">
        <v>0</v>
      </c>
      <c r="J1010" s="56">
        <f t="shared" si="55"/>
        <v>1176.48</v>
      </c>
      <c r="K1010" s="57">
        <f t="shared" si="56"/>
        <v>1013.76</v>
      </c>
    </row>
    <row r="1011" spans="1:11" ht="15" x14ac:dyDescent="0.2">
      <c r="A1011" s="50" t="s">
        <v>757</v>
      </c>
      <c r="B1011" s="51" t="s">
        <v>326</v>
      </c>
      <c r="C1011" s="60"/>
      <c r="D1011" s="58" t="s">
        <v>626</v>
      </c>
      <c r="E1011" s="53">
        <v>192</v>
      </c>
      <c r="F1011" s="9">
        <v>7.04</v>
      </c>
      <c r="G1011" s="10">
        <v>8.17</v>
      </c>
      <c r="H1011" s="54">
        <f t="shared" si="53"/>
        <v>1568.6399999999999</v>
      </c>
      <c r="I1011" s="55">
        <v>0</v>
      </c>
      <c r="J1011" s="56">
        <f t="shared" si="55"/>
        <v>1568.6399999999999</v>
      </c>
      <c r="K1011" s="57">
        <f t="shared" si="56"/>
        <v>1351.68</v>
      </c>
    </row>
    <row r="1012" spans="1:11" ht="15" x14ac:dyDescent="0.2">
      <c r="A1012" s="50" t="s">
        <v>757</v>
      </c>
      <c r="B1012" s="51" t="s">
        <v>329</v>
      </c>
      <c r="C1012" s="60"/>
      <c r="D1012" s="58" t="s">
        <v>578</v>
      </c>
      <c r="E1012" s="53">
        <v>108</v>
      </c>
      <c r="F1012" s="9">
        <v>21.33</v>
      </c>
      <c r="G1012" s="10">
        <v>23.58</v>
      </c>
      <c r="H1012" s="54">
        <f t="shared" si="53"/>
        <v>2546.64</v>
      </c>
      <c r="I1012" s="55">
        <v>0</v>
      </c>
      <c r="J1012" s="56">
        <f t="shared" si="55"/>
        <v>2546.64</v>
      </c>
      <c r="K1012" s="57">
        <f t="shared" si="56"/>
        <v>2303.64</v>
      </c>
    </row>
    <row r="1013" spans="1:11" ht="15" x14ac:dyDescent="0.2">
      <c r="A1013" s="50" t="s">
        <v>757</v>
      </c>
      <c r="B1013" s="51" t="s">
        <v>316</v>
      </c>
      <c r="C1013" s="60"/>
      <c r="D1013" s="58" t="s">
        <v>572</v>
      </c>
      <c r="E1013" s="53">
        <v>360</v>
      </c>
      <c r="F1013" s="9">
        <v>15.92</v>
      </c>
      <c r="G1013" s="10">
        <v>16.329999999999998</v>
      </c>
      <c r="H1013" s="54">
        <f t="shared" si="53"/>
        <v>5878.7999999999993</v>
      </c>
      <c r="I1013" s="55">
        <v>0</v>
      </c>
      <c r="J1013" s="56">
        <f t="shared" si="55"/>
        <v>5878.7999999999993</v>
      </c>
      <c r="K1013" s="57">
        <f t="shared" si="56"/>
        <v>5731.2</v>
      </c>
    </row>
    <row r="1014" spans="1:11" ht="15" x14ac:dyDescent="0.2">
      <c r="A1014" s="50" t="s">
        <v>757</v>
      </c>
      <c r="B1014" s="51" t="s">
        <v>319</v>
      </c>
      <c r="C1014" s="60"/>
      <c r="D1014" s="58" t="s">
        <v>576</v>
      </c>
      <c r="E1014" s="53">
        <v>120</v>
      </c>
      <c r="F1014" s="9">
        <v>11.58</v>
      </c>
      <c r="G1014" s="10">
        <v>12</v>
      </c>
      <c r="H1014" s="54">
        <f t="shared" si="53"/>
        <v>1440</v>
      </c>
      <c r="I1014" s="55">
        <v>0</v>
      </c>
      <c r="J1014" s="56">
        <f t="shared" si="55"/>
        <v>1440</v>
      </c>
      <c r="K1014" s="57">
        <f t="shared" si="56"/>
        <v>1389.6</v>
      </c>
    </row>
    <row r="1015" spans="1:11" ht="15" x14ac:dyDescent="0.2">
      <c r="A1015" s="50" t="s">
        <v>757</v>
      </c>
      <c r="B1015" s="51" t="s">
        <v>336</v>
      </c>
      <c r="C1015" s="60"/>
      <c r="D1015" s="58" t="s">
        <v>627</v>
      </c>
      <c r="E1015" s="53">
        <v>60</v>
      </c>
      <c r="F1015" s="9">
        <v>11.58</v>
      </c>
      <c r="G1015" s="10">
        <v>12</v>
      </c>
      <c r="H1015" s="54">
        <f t="shared" si="53"/>
        <v>720</v>
      </c>
      <c r="I1015" s="55">
        <v>0</v>
      </c>
      <c r="J1015" s="56">
        <f t="shared" si="55"/>
        <v>720</v>
      </c>
      <c r="K1015" s="57">
        <f t="shared" si="56"/>
        <v>694.8</v>
      </c>
    </row>
    <row r="1016" spans="1:11" ht="15" x14ac:dyDescent="0.2">
      <c r="A1016" s="50" t="s">
        <v>757</v>
      </c>
      <c r="B1016" s="51" t="s">
        <v>317</v>
      </c>
      <c r="C1016" s="60"/>
      <c r="D1016" s="58" t="s">
        <v>580</v>
      </c>
      <c r="E1016" s="53">
        <v>41</v>
      </c>
      <c r="F1016" s="9">
        <v>59.17</v>
      </c>
      <c r="G1016" s="10">
        <v>61</v>
      </c>
      <c r="H1016" s="54">
        <f t="shared" si="53"/>
        <v>2501</v>
      </c>
      <c r="I1016" s="55">
        <v>0</v>
      </c>
      <c r="J1016" s="56">
        <f t="shared" si="55"/>
        <v>2501</v>
      </c>
      <c r="K1016" s="57">
        <f t="shared" si="56"/>
        <v>2425.9700000000003</v>
      </c>
    </row>
    <row r="1017" spans="1:11" ht="15" x14ac:dyDescent="0.2">
      <c r="A1017" s="50" t="s">
        <v>757</v>
      </c>
      <c r="B1017" s="51" t="s">
        <v>318</v>
      </c>
      <c r="C1017" s="60"/>
      <c r="D1017" s="58" t="s">
        <v>581</v>
      </c>
      <c r="E1017" s="53">
        <v>7</v>
      </c>
      <c r="F1017" s="9">
        <v>59.17</v>
      </c>
      <c r="G1017" s="10">
        <v>61</v>
      </c>
      <c r="H1017" s="54">
        <f t="shared" si="53"/>
        <v>427</v>
      </c>
      <c r="I1017" s="55">
        <v>0</v>
      </c>
      <c r="J1017" s="56">
        <f t="shared" si="55"/>
        <v>427</v>
      </c>
      <c r="K1017" s="57">
        <f t="shared" si="56"/>
        <v>414.19</v>
      </c>
    </row>
    <row r="1018" spans="1:11" ht="15" x14ac:dyDescent="0.2">
      <c r="A1018" s="50" t="s">
        <v>757</v>
      </c>
      <c r="B1018" s="51" t="s">
        <v>325</v>
      </c>
      <c r="C1018" s="60"/>
      <c r="D1018" s="58" t="s">
        <v>579</v>
      </c>
      <c r="E1018" s="53">
        <v>132</v>
      </c>
      <c r="F1018" s="9">
        <v>21.33</v>
      </c>
      <c r="G1018" s="10">
        <v>23.58</v>
      </c>
      <c r="H1018" s="54">
        <f t="shared" ref="H1018:H1059" si="57">E1018*G1018</f>
        <v>3112.56</v>
      </c>
      <c r="I1018" s="55">
        <v>0</v>
      </c>
      <c r="J1018" s="56">
        <f t="shared" si="55"/>
        <v>3112.56</v>
      </c>
      <c r="K1018" s="57">
        <f t="shared" si="56"/>
        <v>2815.56</v>
      </c>
    </row>
    <row r="1019" spans="1:11" ht="15" x14ac:dyDescent="0.2">
      <c r="A1019" s="50" t="s">
        <v>757</v>
      </c>
      <c r="B1019" s="51" t="s">
        <v>319</v>
      </c>
      <c r="C1019" s="60" t="s">
        <v>803</v>
      </c>
      <c r="D1019" s="58" t="s">
        <v>576</v>
      </c>
      <c r="E1019" s="53">
        <v>12</v>
      </c>
      <c r="F1019" s="9">
        <v>11.58</v>
      </c>
      <c r="G1019" s="10">
        <v>12</v>
      </c>
      <c r="H1019" s="54">
        <f t="shared" si="57"/>
        <v>144</v>
      </c>
      <c r="I1019" s="55">
        <v>0</v>
      </c>
      <c r="J1019" s="56">
        <f t="shared" si="55"/>
        <v>144</v>
      </c>
      <c r="K1019" s="57">
        <f t="shared" si="56"/>
        <v>138.96</v>
      </c>
    </row>
    <row r="1020" spans="1:11" ht="15" x14ac:dyDescent="0.2">
      <c r="A1020" s="50" t="s">
        <v>757</v>
      </c>
      <c r="B1020" s="51" t="s">
        <v>336</v>
      </c>
      <c r="C1020" s="60"/>
      <c r="D1020" s="58" t="s">
        <v>627</v>
      </c>
      <c r="E1020" s="53">
        <v>12</v>
      </c>
      <c r="F1020" s="9">
        <v>11.58</v>
      </c>
      <c r="G1020" s="10">
        <v>12</v>
      </c>
      <c r="H1020" s="54">
        <f t="shared" si="57"/>
        <v>144</v>
      </c>
      <c r="I1020" s="55">
        <v>0</v>
      </c>
      <c r="J1020" s="56">
        <f t="shared" si="55"/>
        <v>144</v>
      </c>
      <c r="K1020" s="57">
        <f t="shared" si="56"/>
        <v>138.96</v>
      </c>
    </row>
    <row r="1021" spans="1:11" ht="15" x14ac:dyDescent="0.2">
      <c r="A1021" s="50" t="s">
        <v>757</v>
      </c>
      <c r="B1021" s="51" t="s">
        <v>317</v>
      </c>
      <c r="C1021" s="60" t="s">
        <v>804</v>
      </c>
      <c r="D1021" s="58" t="s">
        <v>580</v>
      </c>
      <c r="E1021" s="53">
        <v>1</v>
      </c>
      <c r="F1021" s="9">
        <v>59.17</v>
      </c>
      <c r="G1021" s="10">
        <v>61</v>
      </c>
      <c r="H1021" s="54">
        <f t="shared" si="57"/>
        <v>61</v>
      </c>
      <c r="I1021" s="55">
        <v>0</v>
      </c>
      <c r="J1021" s="56">
        <f t="shared" si="55"/>
        <v>61</v>
      </c>
      <c r="K1021" s="57">
        <f t="shared" si="56"/>
        <v>59.17</v>
      </c>
    </row>
    <row r="1022" spans="1:11" ht="15" x14ac:dyDescent="0.2">
      <c r="A1022" s="50" t="s">
        <v>757</v>
      </c>
      <c r="B1022" s="51" t="s">
        <v>319</v>
      </c>
      <c r="C1022" s="60" t="s">
        <v>805</v>
      </c>
      <c r="D1022" s="58" t="s">
        <v>576</v>
      </c>
      <c r="E1022" s="53">
        <v>48</v>
      </c>
      <c r="F1022" s="9">
        <v>11.58</v>
      </c>
      <c r="G1022" s="10">
        <v>12</v>
      </c>
      <c r="H1022" s="54">
        <f t="shared" si="57"/>
        <v>576</v>
      </c>
      <c r="I1022" s="55">
        <v>0</v>
      </c>
      <c r="J1022" s="56">
        <f t="shared" si="55"/>
        <v>576</v>
      </c>
      <c r="K1022" s="57">
        <f t="shared" si="54"/>
        <v>555.84</v>
      </c>
    </row>
    <row r="1023" spans="1:11" ht="15" x14ac:dyDescent="0.2">
      <c r="A1023" s="50" t="s">
        <v>757</v>
      </c>
      <c r="B1023" s="51" t="s">
        <v>320</v>
      </c>
      <c r="C1023" s="60"/>
      <c r="D1023" s="58" t="s">
        <v>585</v>
      </c>
      <c r="E1023" s="53">
        <v>48</v>
      </c>
      <c r="F1023" s="9">
        <v>11.58</v>
      </c>
      <c r="G1023" s="10">
        <v>12</v>
      </c>
      <c r="H1023" s="54">
        <f t="shared" si="57"/>
        <v>576</v>
      </c>
      <c r="I1023" s="55">
        <v>0</v>
      </c>
      <c r="J1023" s="56">
        <f t="shared" si="55"/>
        <v>576</v>
      </c>
      <c r="K1023" s="57">
        <f t="shared" si="54"/>
        <v>555.84</v>
      </c>
    </row>
    <row r="1024" spans="1:11" ht="15" x14ac:dyDescent="0.2">
      <c r="A1024" s="50" t="s">
        <v>757</v>
      </c>
      <c r="B1024" s="51" t="s">
        <v>336</v>
      </c>
      <c r="C1024" s="60"/>
      <c r="D1024" s="58" t="s">
        <v>627</v>
      </c>
      <c r="E1024" s="53">
        <v>48</v>
      </c>
      <c r="F1024" s="9">
        <v>11.58</v>
      </c>
      <c r="G1024" s="10">
        <v>12</v>
      </c>
      <c r="H1024" s="54">
        <f t="shared" si="57"/>
        <v>576</v>
      </c>
      <c r="I1024" s="55">
        <v>0</v>
      </c>
      <c r="J1024" s="56">
        <f t="shared" si="55"/>
        <v>576</v>
      </c>
      <c r="K1024" s="57">
        <f t="shared" si="54"/>
        <v>555.84</v>
      </c>
    </row>
    <row r="1025" spans="1:11" ht="15" x14ac:dyDescent="0.2">
      <c r="A1025" s="50" t="s">
        <v>757</v>
      </c>
      <c r="B1025" s="51" t="s">
        <v>317</v>
      </c>
      <c r="C1025" s="60" t="s">
        <v>806</v>
      </c>
      <c r="D1025" s="58" t="s">
        <v>580</v>
      </c>
      <c r="E1025" s="53">
        <v>1</v>
      </c>
      <c r="F1025" s="9">
        <v>59.17</v>
      </c>
      <c r="G1025" s="10">
        <v>61</v>
      </c>
      <c r="H1025" s="54">
        <f t="shared" si="57"/>
        <v>61</v>
      </c>
      <c r="I1025" s="55">
        <v>0</v>
      </c>
      <c r="J1025" s="56">
        <f t="shared" si="55"/>
        <v>61</v>
      </c>
      <c r="K1025" s="57">
        <f t="shared" si="54"/>
        <v>59.17</v>
      </c>
    </row>
    <row r="1026" spans="1:11" ht="15" x14ac:dyDescent="0.2">
      <c r="A1026" s="50" t="s">
        <v>757</v>
      </c>
      <c r="B1026" s="51" t="s">
        <v>335</v>
      </c>
      <c r="C1026" s="60" t="s">
        <v>807</v>
      </c>
      <c r="D1026" s="58" t="s">
        <v>575</v>
      </c>
      <c r="E1026" s="53">
        <v>48</v>
      </c>
      <c r="F1026" s="9">
        <v>7.04</v>
      </c>
      <c r="G1026" s="10">
        <v>8.17</v>
      </c>
      <c r="H1026" s="54">
        <f t="shared" si="57"/>
        <v>392.15999999999997</v>
      </c>
      <c r="I1026" s="55">
        <v>0</v>
      </c>
      <c r="J1026" s="56">
        <f t="shared" si="55"/>
        <v>392.15999999999997</v>
      </c>
      <c r="K1026" s="57">
        <f t="shared" si="54"/>
        <v>337.92</v>
      </c>
    </row>
    <row r="1027" spans="1:11" ht="15" x14ac:dyDescent="0.2">
      <c r="A1027" s="50" t="s">
        <v>757</v>
      </c>
      <c r="B1027" s="51" t="s">
        <v>329</v>
      </c>
      <c r="C1027" s="60"/>
      <c r="D1027" s="58" t="s">
        <v>578</v>
      </c>
      <c r="E1027" s="53">
        <v>6</v>
      </c>
      <c r="F1027" s="9">
        <v>21.33</v>
      </c>
      <c r="G1027" s="10">
        <v>23.58</v>
      </c>
      <c r="H1027" s="54">
        <f t="shared" si="57"/>
        <v>141.47999999999999</v>
      </c>
      <c r="I1027" s="55">
        <v>0</v>
      </c>
      <c r="J1027" s="56">
        <f t="shared" si="55"/>
        <v>141.47999999999999</v>
      </c>
      <c r="K1027" s="57">
        <f t="shared" si="54"/>
        <v>127.97999999999999</v>
      </c>
    </row>
    <row r="1028" spans="1:11" ht="15" x14ac:dyDescent="0.2">
      <c r="A1028" s="50" t="s">
        <v>757</v>
      </c>
      <c r="B1028" s="51" t="s">
        <v>325</v>
      </c>
      <c r="C1028" s="60"/>
      <c r="D1028" s="58" t="s">
        <v>579</v>
      </c>
      <c r="E1028" s="53">
        <v>6</v>
      </c>
      <c r="F1028" s="9">
        <v>21.33</v>
      </c>
      <c r="G1028" s="10">
        <v>23.58</v>
      </c>
      <c r="H1028" s="54">
        <f t="shared" si="57"/>
        <v>141.47999999999999</v>
      </c>
      <c r="I1028" s="55">
        <v>0.12</v>
      </c>
      <c r="J1028" s="56">
        <f t="shared" si="55"/>
        <v>141.35999999999999</v>
      </c>
      <c r="K1028" s="57">
        <f t="shared" si="54"/>
        <v>127.97999999999999</v>
      </c>
    </row>
    <row r="1029" spans="1:11" ht="15" x14ac:dyDescent="0.2">
      <c r="A1029" s="50" t="s">
        <v>757</v>
      </c>
      <c r="B1029" s="51" t="s">
        <v>313</v>
      </c>
      <c r="C1029" s="60" t="s">
        <v>808</v>
      </c>
      <c r="D1029" s="58" t="s">
        <v>577</v>
      </c>
      <c r="E1029" s="53">
        <v>24</v>
      </c>
      <c r="F1029" s="9">
        <v>7.04</v>
      </c>
      <c r="G1029" s="10">
        <v>8.17</v>
      </c>
      <c r="H1029" s="54">
        <f t="shared" si="57"/>
        <v>196.07999999999998</v>
      </c>
      <c r="I1029" s="55">
        <v>0</v>
      </c>
      <c r="J1029" s="56">
        <f t="shared" si="55"/>
        <v>196.07999999999998</v>
      </c>
      <c r="K1029" s="57">
        <f t="shared" si="54"/>
        <v>168.96</v>
      </c>
    </row>
    <row r="1030" spans="1:11" ht="15" x14ac:dyDescent="0.2">
      <c r="A1030" s="50" t="s">
        <v>757</v>
      </c>
      <c r="B1030" s="51" t="s">
        <v>326</v>
      </c>
      <c r="C1030" s="60"/>
      <c r="D1030" s="58" t="s">
        <v>626</v>
      </c>
      <c r="E1030" s="53">
        <v>24</v>
      </c>
      <c r="F1030" s="9">
        <v>7.04</v>
      </c>
      <c r="G1030" s="10">
        <v>8.17</v>
      </c>
      <c r="H1030" s="54">
        <f t="shared" si="57"/>
        <v>196.07999999999998</v>
      </c>
      <c r="I1030" s="55">
        <v>0</v>
      </c>
      <c r="J1030" s="56">
        <f t="shared" si="55"/>
        <v>196.07999999999998</v>
      </c>
      <c r="K1030" s="57">
        <f t="shared" si="54"/>
        <v>168.96</v>
      </c>
    </row>
    <row r="1031" spans="1:11" ht="15" x14ac:dyDescent="0.2">
      <c r="A1031" s="50" t="s">
        <v>757</v>
      </c>
      <c r="B1031" s="51" t="s">
        <v>334</v>
      </c>
      <c r="C1031" s="60"/>
      <c r="D1031" s="58" t="s">
        <v>648</v>
      </c>
      <c r="E1031" s="53">
        <v>24</v>
      </c>
      <c r="F1031" s="9">
        <v>6.88</v>
      </c>
      <c r="G1031" s="10">
        <v>8.17</v>
      </c>
      <c r="H1031" s="54">
        <f t="shared" si="57"/>
        <v>196.07999999999998</v>
      </c>
      <c r="I1031" s="55">
        <v>0</v>
      </c>
      <c r="J1031" s="56">
        <f t="shared" si="55"/>
        <v>196.07999999999998</v>
      </c>
      <c r="K1031" s="57">
        <f t="shared" si="54"/>
        <v>165.12</v>
      </c>
    </row>
    <row r="1032" spans="1:11" ht="15" x14ac:dyDescent="0.2">
      <c r="A1032" s="50" t="s">
        <v>757</v>
      </c>
      <c r="B1032" s="51" t="s">
        <v>329</v>
      </c>
      <c r="C1032" s="60"/>
      <c r="D1032" s="58" t="s">
        <v>578</v>
      </c>
      <c r="E1032" s="53">
        <v>12</v>
      </c>
      <c r="F1032" s="9">
        <v>21.33</v>
      </c>
      <c r="G1032" s="10">
        <v>23.58</v>
      </c>
      <c r="H1032" s="54">
        <f t="shared" si="57"/>
        <v>282.95999999999998</v>
      </c>
      <c r="I1032" s="55">
        <v>0</v>
      </c>
      <c r="J1032" s="56">
        <f t="shared" si="55"/>
        <v>282.95999999999998</v>
      </c>
      <c r="K1032" s="57">
        <f t="shared" si="54"/>
        <v>255.95999999999998</v>
      </c>
    </row>
    <row r="1033" spans="1:11" ht="15" x14ac:dyDescent="0.2">
      <c r="A1033" s="50" t="s">
        <v>757</v>
      </c>
      <c r="B1033" s="51" t="s">
        <v>325</v>
      </c>
      <c r="C1033" s="60"/>
      <c r="D1033" s="58" t="s">
        <v>579</v>
      </c>
      <c r="E1033" s="53">
        <v>12</v>
      </c>
      <c r="F1033" s="9">
        <v>21.33</v>
      </c>
      <c r="G1033" s="10">
        <v>23.58</v>
      </c>
      <c r="H1033" s="54">
        <f t="shared" si="57"/>
        <v>282.95999999999998</v>
      </c>
      <c r="I1033" s="55">
        <v>0</v>
      </c>
      <c r="J1033" s="56">
        <f t="shared" si="55"/>
        <v>282.95999999999998</v>
      </c>
      <c r="K1033" s="57">
        <f t="shared" si="54"/>
        <v>255.95999999999998</v>
      </c>
    </row>
    <row r="1034" spans="1:11" ht="15" x14ac:dyDescent="0.2">
      <c r="A1034" s="50" t="s">
        <v>757</v>
      </c>
      <c r="B1034" s="51" t="s">
        <v>316</v>
      </c>
      <c r="C1034" s="60"/>
      <c r="D1034" s="58" t="s">
        <v>572</v>
      </c>
      <c r="E1034" s="53">
        <v>60</v>
      </c>
      <c r="F1034" s="9">
        <v>15.92</v>
      </c>
      <c r="G1034" s="10">
        <v>16.329999999999998</v>
      </c>
      <c r="H1034" s="54">
        <f t="shared" si="57"/>
        <v>979.8</v>
      </c>
      <c r="I1034" s="55">
        <v>0</v>
      </c>
      <c r="J1034" s="56">
        <f t="shared" si="55"/>
        <v>979.8</v>
      </c>
      <c r="K1034" s="57">
        <f t="shared" si="54"/>
        <v>955.2</v>
      </c>
    </row>
    <row r="1035" spans="1:11" ht="15" x14ac:dyDescent="0.2">
      <c r="A1035" s="50" t="s">
        <v>757</v>
      </c>
      <c r="B1035" s="51" t="s">
        <v>335</v>
      </c>
      <c r="C1035" s="60"/>
      <c r="D1035" s="58" t="s">
        <v>575</v>
      </c>
      <c r="E1035" s="53">
        <v>144</v>
      </c>
      <c r="F1035" s="9">
        <v>7.04</v>
      </c>
      <c r="G1035" s="10">
        <v>8.17</v>
      </c>
      <c r="H1035" s="54">
        <f t="shared" si="57"/>
        <v>1176.48</v>
      </c>
      <c r="I1035" s="55">
        <v>0.44</v>
      </c>
      <c r="J1035" s="56">
        <f t="shared" ref="J1035:J1059" si="58">(G1035*E1035)-I1035</f>
        <v>1176.04</v>
      </c>
      <c r="K1035" s="57">
        <f t="shared" si="54"/>
        <v>1013.76</v>
      </c>
    </row>
    <row r="1036" spans="1:11" ht="15" x14ac:dyDescent="0.2">
      <c r="A1036" s="50" t="s">
        <v>757</v>
      </c>
      <c r="B1036" s="51" t="s">
        <v>316</v>
      </c>
      <c r="C1036" s="60" t="s">
        <v>809</v>
      </c>
      <c r="D1036" s="58" t="s">
        <v>572</v>
      </c>
      <c r="E1036" s="53">
        <v>24</v>
      </c>
      <c r="F1036" s="9">
        <v>15.92</v>
      </c>
      <c r="G1036" s="10">
        <v>16.329999999999998</v>
      </c>
      <c r="H1036" s="54">
        <f t="shared" si="57"/>
        <v>391.91999999999996</v>
      </c>
      <c r="I1036" s="55">
        <v>0</v>
      </c>
      <c r="J1036" s="56">
        <f t="shared" si="58"/>
        <v>391.91999999999996</v>
      </c>
      <c r="K1036" s="57">
        <f t="shared" si="54"/>
        <v>382.08</v>
      </c>
    </row>
    <row r="1037" spans="1:11" ht="15" x14ac:dyDescent="0.2">
      <c r="A1037" s="50" t="s">
        <v>757</v>
      </c>
      <c r="B1037" s="51" t="s">
        <v>335</v>
      </c>
      <c r="C1037" s="60"/>
      <c r="D1037" s="58" t="s">
        <v>575</v>
      </c>
      <c r="E1037" s="53">
        <v>24</v>
      </c>
      <c r="F1037" s="9">
        <v>7.04</v>
      </c>
      <c r="G1037" s="10">
        <v>8.17</v>
      </c>
      <c r="H1037" s="54">
        <f t="shared" si="57"/>
        <v>196.07999999999998</v>
      </c>
      <c r="I1037" s="55">
        <v>0</v>
      </c>
      <c r="J1037" s="56">
        <f t="shared" si="58"/>
        <v>196.07999999999998</v>
      </c>
      <c r="K1037" s="57">
        <f t="shared" si="54"/>
        <v>168.96</v>
      </c>
    </row>
    <row r="1038" spans="1:11" ht="15" x14ac:dyDescent="0.2">
      <c r="A1038" s="50" t="s">
        <v>757</v>
      </c>
      <c r="B1038" s="51" t="s">
        <v>335</v>
      </c>
      <c r="C1038" s="60" t="s">
        <v>810</v>
      </c>
      <c r="D1038" s="58" t="s">
        <v>575</v>
      </c>
      <c r="E1038" s="53">
        <v>48</v>
      </c>
      <c r="F1038" s="9">
        <v>7.04</v>
      </c>
      <c r="G1038" s="10">
        <v>8.17</v>
      </c>
      <c r="H1038" s="54">
        <f t="shared" si="57"/>
        <v>392.15999999999997</v>
      </c>
      <c r="I1038" s="55">
        <v>0</v>
      </c>
      <c r="J1038" s="56">
        <f t="shared" si="58"/>
        <v>392.15999999999997</v>
      </c>
      <c r="K1038" s="57">
        <f t="shared" si="54"/>
        <v>337.92</v>
      </c>
    </row>
    <row r="1039" spans="1:11" ht="15" x14ac:dyDescent="0.2">
      <c r="A1039" s="50" t="s">
        <v>757</v>
      </c>
      <c r="B1039" s="51" t="s">
        <v>313</v>
      </c>
      <c r="C1039" s="60"/>
      <c r="D1039" s="58" t="s">
        <v>577</v>
      </c>
      <c r="E1039" s="53">
        <v>24</v>
      </c>
      <c r="F1039" s="9">
        <v>7.04</v>
      </c>
      <c r="G1039" s="10">
        <v>8.17</v>
      </c>
      <c r="H1039" s="54">
        <f t="shared" si="57"/>
        <v>196.07999999999998</v>
      </c>
      <c r="I1039" s="55">
        <v>0</v>
      </c>
      <c r="J1039" s="56">
        <f t="shared" si="58"/>
        <v>196.07999999999998</v>
      </c>
      <c r="K1039" s="57">
        <f t="shared" si="54"/>
        <v>168.96</v>
      </c>
    </row>
    <row r="1040" spans="1:11" ht="15" x14ac:dyDescent="0.2">
      <c r="A1040" s="50" t="s">
        <v>757</v>
      </c>
      <c r="B1040" s="51" t="s">
        <v>317</v>
      </c>
      <c r="C1040" s="60"/>
      <c r="D1040" s="58" t="s">
        <v>580</v>
      </c>
      <c r="E1040" s="53">
        <v>12</v>
      </c>
      <c r="F1040" s="9">
        <v>59.17</v>
      </c>
      <c r="G1040" s="10">
        <v>61</v>
      </c>
      <c r="H1040" s="54">
        <f t="shared" si="57"/>
        <v>732</v>
      </c>
      <c r="I1040" s="55">
        <v>0.24</v>
      </c>
      <c r="J1040" s="56">
        <f t="shared" si="58"/>
        <v>731.76</v>
      </c>
      <c r="K1040" s="57">
        <f t="shared" si="54"/>
        <v>710.04</v>
      </c>
    </row>
    <row r="1041" spans="1:11" ht="15" x14ac:dyDescent="0.2">
      <c r="A1041" s="50" t="s">
        <v>757</v>
      </c>
      <c r="B1041" s="51" t="s">
        <v>317</v>
      </c>
      <c r="C1041" s="60" t="s">
        <v>811</v>
      </c>
      <c r="D1041" s="58" t="s">
        <v>580</v>
      </c>
      <c r="E1041" s="53">
        <v>12</v>
      </c>
      <c r="F1041" s="9">
        <v>59.17</v>
      </c>
      <c r="G1041" s="10">
        <v>61</v>
      </c>
      <c r="H1041" s="54">
        <f t="shared" si="57"/>
        <v>732</v>
      </c>
      <c r="I1041" s="55">
        <v>0</v>
      </c>
      <c r="J1041" s="56">
        <f t="shared" si="58"/>
        <v>732</v>
      </c>
      <c r="K1041" s="57">
        <f t="shared" si="54"/>
        <v>710.04</v>
      </c>
    </row>
    <row r="1042" spans="1:11" ht="15" x14ac:dyDescent="0.2">
      <c r="A1042" s="50" t="s">
        <v>757</v>
      </c>
      <c r="B1042" s="51" t="s">
        <v>319</v>
      </c>
      <c r="C1042" s="60"/>
      <c r="D1042" s="58" t="s">
        <v>576</v>
      </c>
      <c r="E1042" s="53">
        <v>24</v>
      </c>
      <c r="F1042" s="9">
        <v>11.58</v>
      </c>
      <c r="G1042" s="10">
        <v>12</v>
      </c>
      <c r="H1042" s="54">
        <f t="shared" si="57"/>
        <v>288</v>
      </c>
      <c r="I1042" s="55">
        <v>0</v>
      </c>
      <c r="J1042" s="56">
        <f t="shared" si="58"/>
        <v>288</v>
      </c>
      <c r="K1042" s="57">
        <f t="shared" si="54"/>
        <v>277.92</v>
      </c>
    </row>
    <row r="1043" spans="1:11" ht="15" x14ac:dyDescent="0.2">
      <c r="A1043" s="50" t="s">
        <v>757</v>
      </c>
      <c r="B1043" s="51" t="s">
        <v>335</v>
      </c>
      <c r="C1043" s="60"/>
      <c r="D1043" s="58" t="s">
        <v>575</v>
      </c>
      <c r="E1043" s="53">
        <v>24</v>
      </c>
      <c r="F1043" s="9">
        <v>7.04</v>
      </c>
      <c r="G1043" s="10">
        <v>8.17</v>
      </c>
      <c r="H1043" s="54">
        <f t="shared" si="57"/>
        <v>196.07999999999998</v>
      </c>
      <c r="I1043" s="55">
        <v>0</v>
      </c>
      <c r="J1043" s="56">
        <f t="shared" si="58"/>
        <v>196.07999999999998</v>
      </c>
      <c r="K1043" s="57">
        <f t="shared" si="54"/>
        <v>168.96</v>
      </c>
    </row>
    <row r="1044" spans="1:11" ht="15" x14ac:dyDescent="0.2">
      <c r="A1044" s="50" t="s">
        <v>757</v>
      </c>
      <c r="B1044" s="51" t="s">
        <v>313</v>
      </c>
      <c r="C1044" s="60"/>
      <c r="D1044" s="58" t="s">
        <v>577</v>
      </c>
      <c r="E1044" s="53">
        <v>12</v>
      </c>
      <c r="F1044" s="9">
        <v>7.04</v>
      </c>
      <c r="G1044" s="10">
        <v>8.17</v>
      </c>
      <c r="H1044" s="54">
        <f t="shared" si="57"/>
        <v>98.039999999999992</v>
      </c>
      <c r="I1044" s="55">
        <v>0</v>
      </c>
      <c r="J1044" s="56">
        <f t="shared" si="58"/>
        <v>98.039999999999992</v>
      </c>
      <c r="K1044" s="57">
        <f t="shared" si="54"/>
        <v>84.48</v>
      </c>
    </row>
    <row r="1045" spans="1:11" ht="15" x14ac:dyDescent="0.2">
      <c r="A1045" s="50" t="s">
        <v>757</v>
      </c>
      <c r="B1045" s="51" t="s">
        <v>326</v>
      </c>
      <c r="C1045" s="60"/>
      <c r="D1045" s="58" t="s">
        <v>626</v>
      </c>
      <c r="E1045" s="53">
        <v>12</v>
      </c>
      <c r="F1045" s="9">
        <v>7.04</v>
      </c>
      <c r="G1045" s="10">
        <v>8.17</v>
      </c>
      <c r="H1045" s="54">
        <f t="shared" si="57"/>
        <v>98.039999999999992</v>
      </c>
      <c r="I1045" s="55">
        <v>0.16</v>
      </c>
      <c r="J1045" s="56">
        <f t="shared" si="58"/>
        <v>97.88</v>
      </c>
      <c r="K1045" s="57">
        <f t="shared" si="54"/>
        <v>84.48</v>
      </c>
    </row>
    <row r="1046" spans="1:11" ht="15" x14ac:dyDescent="0.2">
      <c r="A1046" s="50" t="s">
        <v>757</v>
      </c>
      <c r="B1046" s="51" t="s">
        <v>335</v>
      </c>
      <c r="C1046" s="60" t="s">
        <v>812</v>
      </c>
      <c r="D1046" s="58" t="s">
        <v>575</v>
      </c>
      <c r="E1046" s="53">
        <v>240</v>
      </c>
      <c r="F1046" s="9">
        <v>7.04</v>
      </c>
      <c r="G1046" s="10">
        <v>8.17</v>
      </c>
      <c r="H1046" s="54">
        <f t="shared" si="57"/>
        <v>1960.8</v>
      </c>
      <c r="I1046" s="55">
        <v>0</v>
      </c>
      <c r="J1046" s="56">
        <f t="shared" si="58"/>
        <v>1960.8</v>
      </c>
      <c r="K1046" s="57">
        <f t="shared" si="54"/>
        <v>1689.6</v>
      </c>
    </row>
    <row r="1047" spans="1:11" ht="15" x14ac:dyDescent="0.2">
      <c r="A1047" s="50" t="s">
        <v>757</v>
      </c>
      <c r="B1047" s="51" t="s">
        <v>313</v>
      </c>
      <c r="C1047" s="60"/>
      <c r="D1047" s="58" t="s">
        <v>577</v>
      </c>
      <c r="E1047" s="53">
        <v>96</v>
      </c>
      <c r="F1047" s="9">
        <v>7.04</v>
      </c>
      <c r="G1047" s="10">
        <v>8.17</v>
      </c>
      <c r="H1047" s="54">
        <f t="shared" si="57"/>
        <v>784.31999999999994</v>
      </c>
      <c r="I1047" s="55">
        <v>0</v>
      </c>
      <c r="J1047" s="56">
        <f t="shared" si="58"/>
        <v>784.31999999999994</v>
      </c>
      <c r="K1047" s="57">
        <f t="shared" si="54"/>
        <v>675.84</v>
      </c>
    </row>
    <row r="1048" spans="1:11" ht="15" x14ac:dyDescent="0.2">
      <c r="A1048" s="50" t="s">
        <v>757</v>
      </c>
      <c r="B1048" s="51" t="s">
        <v>326</v>
      </c>
      <c r="C1048" s="60"/>
      <c r="D1048" s="58" t="s">
        <v>626</v>
      </c>
      <c r="E1048" s="53">
        <v>96</v>
      </c>
      <c r="F1048" s="9">
        <v>7.04</v>
      </c>
      <c r="G1048" s="10">
        <v>8.17</v>
      </c>
      <c r="H1048" s="54">
        <f t="shared" si="57"/>
        <v>784.31999999999994</v>
      </c>
      <c r="I1048" s="55">
        <v>0</v>
      </c>
      <c r="J1048" s="56">
        <f t="shared" si="58"/>
        <v>784.31999999999994</v>
      </c>
      <c r="K1048" s="57">
        <f t="shared" si="54"/>
        <v>675.84</v>
      </c>
    </row>
    <row r="1049" spans="1:11" ht="15" x14ac:dyDescent="0.2">
      <c r="A1049" s="50" t="s">
        <v>757</v>
      </c>
      <c r="B1049" s="51" t="s">
        <v>316</v>
      </c>
      <c r="C1049" s="60"/>
      <c r="D1049" s="58" t="s">
        <v>572</v>
      </c>
      <c r="E1049" s="53">
        <v>60</v>
      </c>
      <c r="F1049" s="9">
        <v>15.92</v>
      </c>
      <c r="G1049" s="10">
        <v>16.329999999999998</v>
      </c>
      <c r="H1049" s="54">
        <f t="shared" si="57"/>
        <v>979.8</v>
      </c>
      <c r="I1049" s="55">
        <v>0</v>
      </c>
      <c r="J1049" s="56">
        <f t="shared" si="58"/>
        <v>979.8</v>
      </c>
      <c r="K1049" s="57">
        <f t="shared" si="54"/>
        <v>955.2</v>
      </c>
    </row>
    <row r="1050" spans="1:11" ht="15" x14ac:dyDescent="0.2">
      <c r="A1050" s="50" t="s">
        <v>757</v>
      </c>
      <c r="B1050" s="51" t="s">
        <v>320</v>
      </c>
      <c r="C1050" s="60"/>
      <c r="D1050" s="58" t="s">
        <v>576</v>
      </c>
      <c r="E1050" s="53">
        <v>36</v>
      </c>
      <c r="F1050" s="9">
        <v>11.58</v>
      </c>
      <c r="G1050" s="10">
        <v>12</v>
      </c>
      <c r="H1050" s="54">
        <f t="shared" si="57"/>
        <v>432</v>
      </c>
      <c r="I1050" s="55">
        <v>0</v>
      </c>
      <c r="J1050" s="56">
        <f t="shared" si="58"/>
        <v>432</v>
      </c>
      <c r="K1050" s="57">
        <f t="shared" si="54"/>
        <v>416.88</v>
      </c>
    </row>
    <row r="1051" spans="1:11" ht="15" x14ac:dyDescent="0.2">
      <c r="A1051" s="50" t="s">
        <v>757</v>
      </c>
      <c r="B1051" s="51" t="s">
        <v>317</v>
      </c>
      <c r="C1051" s="60"/>
      <c r="D1051" s="58" t="s">
        <v>580</v>
      </c>
      <c r="E1051" s="53">
        <v>24</v>
      </c>
      <c r="F1051" s="9">
        <v>59.17</v>
      </c>
      <c r="G1051" s="10">
        <v>61</v>
      </c>
      <c r="H1051" s="54">
        <f t="shared" si="57"/>
        <v>1464</v>
      </c>
      <c r="I1051" s="55">
        <v>0</v>
      </c>
      <c r="J1051" s="56">
        <f t="shared" si="58"/>
        <v>1464</v>
      </c>
      <c r="K1051" s="57">
        <f t="shared" ref="K1051:K1060" si="59">E1051*F1051</f>
        <v>1420.08</v>
      </c>
    </row>
    <row r="1052" spans="1:11" ht="15" x14ac:dyDescent="0.2">
      <c r="A1052" s="50" t="s">
        <v>757</v>
      </c>
      <c r="B1052" s="51" t="s">
        <v>328</v>
      </c>
      <c r="C1052" s="60"/>
      <c r="D1052" s="58" t="s">
        <v>647</v>
      </c>
      <c r="E1052" s="53">
        <v>12</v>
      </c>
      <c r="F1052" s="9">
        <v>59.17</v>
      </c>
      <c r="G1052" s="10">
        <v>61</v>
      </c>
      <c r="H1052" s="54">
        <f t="shared" si="57"/>
        <v>732</v>
      </c>
      <c r="I1052" s="55">
        <v>1.24</v>
      </c>
      <c r="J1052" s="56">
        <f t="shared" si="58"/>
        <v>730.76</v>
      </c>
      <c r="K1052" s="57">
        <f t="shared" si="59"/>
        <v>710.04</v>
      </c>
    </row>
    <row r="1053" spans="1:11" ht="15" x14ac:dyDescent="0.2">
      <c r="A1053" s="50" t="s">
        <v>758</v>
      </c>
      <c r="B1053" s="51" t="s">
        <v>319</v>
      </c>
      <c r="C1053" s="60" t="s">
        <v>813</v>
      </c>
      <c r="D1053" s="58" t="s">
        <v>576</v>
      </c>
      <c r="E1053" s="53">
        <v>12</v>
      </c>
      <c r="F1053" s="9">
        <v>11.58</v>
      </c>
      <c r="G1053" s="10">
        <v>12</v>
      </c>
      <c r="H1053" s="54">
        <f t="shared" si="57"/>
        <v>144</v>
      </c>
      <c r="I1053" s="55">
        <v>0</v>
      </c>
      <c r="J1053" s="56">
        <f t="shared" si="58"/>
        <v>144</v>
      </c>
      <c r="K1053" s="57">
        <f t="shared" si="59"/>
        <v>138.96</v>
      </c>
    </row>
    <row r="1054" spans="1:11" ht="15" x14ac:dyDescent="0.2">
      <c r="A1054" s="50" t="s">
        <v>758</v>
      </c>
      <c r="B1054" s="51" t="s">
        <v>320</v>
      </c>
      <c r="C1054" s="60"/>
      <c r="D1054" s="58" t="s">
        <v>585</v>
      </c>
      <c r="E1054" s="53">
        <v>24</v>
      </c>
      <c r="F1054" s="9">
        <v>11.58</v>
      </c>
      <c r="G1054" s="10">
        <v>12</v>
      </c>
      <c r="H1054" s="54">
        <f t="shared" si="57"/>
        <v>288</v>
      </c>
      <c r="I1054" s="55">
        <v>0</v>
      </c>
      <c r="J1054" s="56">
        <f t="shared" si="58"/>
        <v>288</v>
      </c>
      <c r="K1054" s="57">
        <f t="shared" si="59"/>
        <v>277.92</v>
      </c>
    </row>
    <row r="1055" spans="1:11" ht="15" x14ac:dyDescent="0.2">
      <c r="A1055" s="50" t="s">
        <v>758</v>
      </c>
      <c r="B1055" s="51" t="s">
        <v>336</v>
      </c>
      <c r="C1055" s="60"/>
      <c r="D1055" s="58" t="s">
        <v>627</v>
      </c>
      <c r="E1055" s="53">
        <v>12</v>
      </c>
      <c r="F1055" s="9">
        <v>11.58</v>
      </c>
      <c r="G1055" s="10">
        <v>12</v>
      </c>
      <c r="H1055" s="54">
        <f t="shared" si="57"/>
        <v>144</v>
      </c>
      <c r="I1055" s="55">
        <v>0</v>
      </c>
      <c r="J1055" s="56">
        <f t="shared" si="58"/>
        <v>144</v>
      </c>
      <c r="K1055" s="57">
        <f t="shared" si="59"/>
        <v>138.96</v>
      </c>
    </row>
    <row r="1056" spans="1:11" ht="15" x14ac:dyDescent="0.2">
      <c r="A1056" s="50" t="s">
        <v>758</v>
      </c>
      <c r="B1056" s="51" t="s">
        <v>335</v>
      </c>
      <c r="C1056" s="60" t="s">
        <v>814</v>
      </c>
      <c r="D1056" s="58" t="s">
        <v>575</v>
      </c>
      <c r="E1056" s="53">
        <v>24</v>
      </c>
      <c r="F1056" s="9">
        <v>7.04</v>
      </c>
      <c r="G1056" s="10">
        <v>8.17</v>
      </c>
      <c r="H1056" s="54">
        <f t="shared" si="57"/>
        <v>196.07999999999998</v>
      </c>
      <c r="I1056" s="55">
        <v>0.08</v>
      </c>
      <c r="J1056" s="56">
        <f t="shared" si="58"/>
        <v>195.99999999999997</v>
      </c>
      <c r="K1056" s="57">
        <f t="shared" si="59"/>
        <v>168.96</v>
      </c>
    </row>
    <row r="1057" spans="1:13" ht="15" x14ac:dyDescent="0.2">
      <c r="A1057" s="50" t="s">
        <v>758</v>
      </c>
      <c r="B1057" s="51" t="s">
        <v>316</v>
      </c>
      <c r="C1057" s="60" t="s">
        <v>815</v>
      </c>
      <c r="D1057" s="58" t="s">
        <v>572</v>
      </c>
      <c r="E1057" s="53">
        <v>12</v>
      </c>
      <c r="F1057" s="9">
        <v>15.92</v>
      </c>
      <c r="G1057" s="10">
        <v>16.329999999999998</v>
      </c>
      <c r="H1057" s="54">
        <f t="shared" si="57"/>
        <v>195.95999999999998</v>
      </c>
      <c r="I1057" s="55">
        <v>0</v>
      </c>
      <c r="J1057" s="56">
        <f t="shared" si="58"/>
        <v>195.95999999999998</v>
      </c>
      <c r="K1057" s="57">
        <f t="shared" si="59"/>
        <v>191.04</v>
      </c>
    </row>
    <row r="1058" spans="1:13" ht="15" x14ac:dyDescent="0.2">
      <c r="A1058" s="50" t="s">
        <v>758</v>
      </c>
      <c r="B1058" s="51" t="s">
        <v>325</v>
      </c>
      <c r="C1058" s="60" t="s">
        <v>816</v>
      </c>
      <c r="D1058" s="58" t="s">
        <v>579</v>
      </c>
      <c r="E1058" s="53">
        <v>12</v>
      </c>
      <c r="F1058" s="9">
        <v>21.33</v>
      </c>
      <c r="G1058" s="10">
        <v>23.58</v>
      </c>
      <c r="H1058" s="54">
        <f t="shared" si="57"/>
        <v>282.95999999999998</v>
      </c>
      <c r="I1058" s="55">
        <v>0</v>
      </c>
      <c r="J1058" s="56">
        <f t="shared" si="58"/>
        <v>282.95999999999998</v>
      </c>
      <c r="K1058" s="57">
        <f t="shared" si="59"/>
        <v>255.95999999999998</v>
      </c>
    </row>
    <row r="1059" spans="1:13" ht="15" x14ac:dyDescent="0.2">
      <c r="A1059" s="50" t="s">
        <v>758</v>
      </c>
      <c r="B1059" s="51" t="s">
        <v>317</v>
      </c>
      <c r="C1059" s="60"/>
      <c r="D1059" s="58" t="s">
        <v>580</v>
      </c>
      <c r="E1059" s="53">
        <v>12</v>
      </c>
      <c r="F1059" s="9">
        <v>59.17</v>
      </c>
      <c r="G1059" s="10">
        <v>61</v>
      </c>
      <c r="H1059" s="54">
        <f t="shared" si="57"/>
        <v>732</v>
      </c>
      <c r="I1059" s="55">
        <v>0</v>
      </c>
      <c r="J1059" s="56">
        <f t="shared" si="58"/>
        <v>732</v>
      </c>
      <c r="K1059" s="57">
        <f t="shared" si="59"/>
        <v>710.04</v>
      </c>
      <c r="L1059" s="2">
        <v>61024.800000000003</v>
      </c>
      <c r="M1059" s="2">
        <v>61024.800000000003</v>
      </c>
    </row>
    <row r="1060" spans="1:13" ht="15" x14ac:dyDescent="0.2">
      <c r="A1060" s="50" t="s">
        <v>817</v>
      </c>
      <c r="B1060" s="51" t="s">
        <v>319</v>
      </c>
      <c r="C1060" s="60" t="s">
        <v>821</v>
      </c>
      <c r="D1060" s="58" t="s">
        <v>576</v>
      </c>
      <c r="E1060" s="53">
        <v>240</v>
      </c>
      <c r="F1060" s="9">
        <v>11.58</v>
      </c>
      <c r="G1060" s="82">
        <v>12</v>
      </c>
      <c r="H1060" s="54">
        <f t="shared" ref="H1060:H1124" si="60">E1060*G1060</f>
        <v>2880</v>
      </c>
      <c r="I1060" s="55">
        <v>0</v>
      </c>
      <c r="J1060" s="56">
        <f t="shared" ref="J1060:J1124" si="61">(G1060*E1060)-I1060</f>
        <v>2880</v>
      </c>
      <c r="K1060" s="57">
        <f t="shared" si="59"/>
        <v>2779.2</v>
      </c>
    </row>
    <row r="1061" spans="1:13" ht="15" x14ac:dyDescent="0.2">
      <c r="A1061" s="50" t="s">
        <v>817</v>
      </c>
      <c r="B1061" s="51" t="s">
        <v>320</v>
      </c>
      <c r="C1061" s="60"/>
      <c r="D1061" s="58" t="s">
        <v>585</v>
      </c>
      <c r="E1061" s="53">
        <v>72</v>
      </c>
      <c r="F1061" s="9">
        <v>11.58</v>
      </c>
      <c r="G1061" s="82">
        <v>12</v>
      </c>
      <c r="H1061" s="54">
        <f t="shared" si="60"/>
        <v>864</v>
      </c>
      <c r="I1061" s="55">
        <v>0</v>
      </c>
      <c r="J1061" s="56">
        <f t="shared" si="61"/>
        <v>864</v>
      </c>
      <c r="K1061" s="57">
        <f t="shared" ref="K1061:K1124" si="62">E1061*F1061</f>
        <v>833.76</v>
      </c>
    </row>
    <row r="1062" spans="1:13" ht="15" x14ac:dyDescent="0.2">
      <c r="A1062" s="50" t="s">
        <v>817</v>
      </c>
      <c r="B1062" s="51" t="s">
        <v>336</v>
      </c>
      <c r="C1062" s="60"/>
      <c r="D1062" s="58" t="s">
        <v>627</v>
      </c>
      <c r="E1062" s="53">
        <v>36</v>
      </c>
      <c r="F1062" s="9">
        <v>11.58</v>
      </c>
      <c r="G1062" s="82">
        <v>12</v>
      </c>
      <c r="H1062" s="54">
        <f t="shared" si="60"/>
        <v>432</v>
      </c>
      <c r="I1062" s="55">
        <v>0</v>
      </c>
      <c r="J1062" s="56">
        <f t="shared" si="61"/>
        <v>432</v>
      </c>
      <c r="K1062" s="57">
        <f t="shared" si="62"/>
        <v>416.88</v>
      </c>
    </row>
    <row r="1063" spans="1:13" ht="15" x14ac:dyDescent="0.2">
      <c r="A1063" s="50" t="s">
        <v>817</v>
      </c>
      <c r="B1063" s="51" t="s">
        <v>316</v>
      </c>
      <c r="C1063" s="60"/>
      <c r="D1063" s="58" t="s">
        <v>572</v>
      </c>
      <c r="E1063" s="53">
        <v>288</v>
      </c>
      <c r="F1063" s="9">
        <v>15.92</v>
      </c>
      <c r="G1063" s="82">
        <v>16.329999999999998</v>
      </c>
      <c r="H1063" s="54">
        <f t="shared" si="60"/>
        <v>4703.0399999999991</v>
      </c>
      <c r="I1063" s="55">
        <v>0</v>
      </c>
      <c r="J1063" s="56">
        <f t="shared" si="61"/>
        <v>4703.0399999999991</v>
      </c>
      <c r="K1063" s="57">
        <f t="shared" si="62"/>
        <v>4584.96</v>
      </c>
    </row>
    <row r="1064" spans="1:13" ht="15" x14ac:dyDescent="0.2">
      <c r="A1064" s="50" t="s">
        <v>817</v>
      </c>
      <c r="B1064" s="51" t="s">
        <v>319</v>
      </c>
      <c r="C1064" s="60" t="s">
        <v>822</v>
      </c>
      <c r="D1064" s="58" t="s">
        <v>576</v>
      </c>
      <c r="E1064" s="53">
        <v>60</v>
      </c>
      <c r="F1064" s="9">
        <v>11.58</v>
      </c>
      <c r="G1064" s="82">
        <v>12</v>
      </c>
      <c r="H1064" s="54">
        <f t="shared" si="60"/>
        <v>720</v>
      </c>
      <c r="I1064" s="55">
        <v>0</v>
      </c>
      <c r="J1064" s="56">
        <f t="shared" si="61"/>
        <v>720</v>
      </c>
      <c r="K1064" s="57">
        <f t="shared" si="62"/>
        <v>694.8</v>
      </c>
    </row>
    <row r="1065" spans="1:13" ht="15" x14ac:dyDescent="0.2">
      <c r="A1065" s="50" t="s">
        <v>817</v>
      </c>
      <c r="B1065" s="51" t="s">
        <v>320</v>
      </c>
      <c r="C1065" s="60"/>
      <c r="D1065" s="58" t="s">
        <v>585</v>
      </c>
      <c r="E1065" s="53">
        <v>36</v>
      </c>
      <c r="F1065" s="9">
        <v>11.58</v>
      </c>
      <c r="G1065" s="82">
        <v>12</v>
      </c>
      <c r="H1065" s="54">
        <f t="shared" si="60"/>
        <v>432</v>
      </c>
      <c r="I1065" s="55">
        <v>0</v>
      </c>
      <c r="J1065" s="56">
        <f t="shared" si="61"/>
        <v>432</v>
      </c>
      <c r="K1065" s="57">
        <f t="shared" si="62"/>
        <v>416.88</v>
      </c>
    </row>
    <row r="1066" spans="1:13" ht="15" x14ac:dyDescent="0.2">
      <c r="A1066" s="50" t="s">
        <v>817</v>
      </c>
      <c r="B1066" s="51" t="s">
        <v>336</v>
      </c>
      <c r="C1066" s="60"/>
      <c r="D1066" s="58" t="s">
        <v>627</v>
      </c>
      <c r="E1066" s="53">
        <v>36</v>
      </c>
      <c r="F1066" s="9">
        <v>11.58</v>
      </c>
      <c r="G1066" s="82">
        <v>12</v>
      </c>
      <c r="H1066" s="54">
        <f t="shared" si="60"/>
        <v>432</v>
      </c>
      <c r="I1066" s="55">
        <v>0</v>
      </c>
      <c r="J1066" s="56">
        <f t="shared" si="61"/>
        <v>432</v>
      </c>
      <c r="K1066" s="57">
        <f t="shared" si="62"/>
        <v>416.88</v>
      </c>
    </row>
    <row r="1067" spans="1:13" ht="15" x14ac:dyDescent="0.2">
      <c r="A1067" s="50" t="s">
        <v>817</v>
      </c>
      <c r="B1067" s="51" t="s">
        <v>317</v>
      </c>
      <c r="C1067" s="60"/>
      <c r="D1067" s="58" t="s">
        <v>580</v>
      </c>
      <c r="E1067" s="53">
        <v>60</v>
      </c>
      <c r="F1067" s="9">
        <v>59.17</v>
      </c>
      <c r="G1067" s="82">
        <v>61</v>
      </c>
      <c r="H1067" s="54">
        <f t="shared" si="60"/>
        <v>3660</v>
      </c>
      <c r="I1067" s="55">
        <v>0</v>
      </c>
      <c r="J1067" s="56">
        <f t="shared" si="61"/>
        <v>3660</v>
      </c>
      <c r="K1067" s="57">
        <f t="shared" si="62"/>
        <v>3550.2000000000003</v>
      </c>
    </row>
    <row r="1068" spans="1:13" ht="15" x14ac:dyDescent="0.2">
      <c r="A1068" s="50" t="s">
        <v>817</v>
      </c>
      <c r="B1068" s="51" t="s">
        <v>328</v>
      </c>
      <c r="C1068" s="60"/>
      <c r="D1068" s="58" t="s">
        <v>647</v>
      </c>
      <c r="E1068" s="53">
        <v>12</v>
      </c>
      <c r="F1068" s="9">
        <v>59.17</v>
      </c>
      <c r="G1068" s="82">
        <v>61</v>
      </c>
      <c r="H1068" s="54">
        <f t="shared" si="60"/>
        <v>732</v>
      </c>
      <c r="I1068" s="55">
        <v>0</v>
      </c>
      <c r="J1068" s="56">
        <f t="shared" si="61"/>
        <v>732</v>
      </c>
      <c r="K1068" s="57">
        <f t="shared" si="62"/>
        <v>710.04</v>
      </c>
    </row>
    <row r="1069" spans="1:13" ht="15" x14ac:dyDescent="0.2">
      <c r="A1069" s="50" t="s">
        <v>817</v>
      </c>
      <c r="B1069" s="51" t="s">
        <v>318</v>
      </c>
      <c r="C1069" s="60"/>
      <c r="D1069" s="58" t="s">
        <v>581</v>
      </c>
      <c r="E1069" s="53">
        <v>12</v>
      </c>
      <c r="F1069" s="9">
        <v>59.17</v>
      </c>
      <c r="G1069" s="82">
        <v>61</v>
      </c>
      <c r="H1069" s="54">
        <f t="shared" si="60"/>
        <v>732</v>
      </c>
      <c r="I1069" s="55">
        <v>0</v>
      </c>
      <c r="J1069" s="56">
        <f t="shared" si="61"/>
        <v>732</v>
      </c>
      <c r="K1069" s="57">
        <f t="shared" si="62"/>
        <v>710.04</v>
      </c>
    </row>
    <row r="1070" spans="1:13" ht="15" x14ac:dyDescent="0.2">
      <c r="A1070" s="50" t="s">
        <v>817</v>
      </c>
      <c r="B1070" s="51" t="s">
        <v>316</v>
      </c>
      <c r="C1070" s="60"/>
      <c r="D1070" s="58" t="s">
        <v>572</v>
      </c>
      <c r="E1070" s="53">
        <v>120</v>
      </c>
      <c r="F1070" s="9">
        <v>15.92</v>
      </c>
      <c r="G1070" s="82">
        <v>16.329999999999998</v>
      </c>
      <c r="H1070" s="54">
        <f t="shared" si="60"/>
        <v>1959.6</v>
      </c>
      <c r="I1070" s="55">
        <v>0</v>
      </c>
      <c r="J1070" s="56">
        <f t="shared" si="61"/>
        <v>1959.6</v>
      </c>
      <c r="K1070" s="57">
        <f t="shared" si="62"/>
        <v>1910.4</v>
      </c>
    </row>
    <row r="1071" spans="1:13" ht="15" x14ac:dyDescent="0.2">
      <c r="A1071" s="50" t="s">
        <v>817</v>
      </c>
      <c r="B1071" s="51" t="s">
        <v>335</v>
      </c>
      <c r="C1071" s="60" t="s">
        <v>823</v>
      </c>
      <c r="D1071" s="58" t="s">
        <v>575</v>
      </c>
      <c r="E1071" s="53">
        <v>144</v>
      </c>
      <c r="F1071" s="9">
        <v>7.04</v>
      </c>
      <c r="G1071" s="82">
        <v>8.17</v>
      </c>
      <c r="H1071" s="54">
        <f t="shared" si="60"/>
        <v>1176.48</v>
      </c>
      <c r="I1071" s="55">
        <v>0</v>
      </c>
      <c r="J1071" s="56">
        <f t="shared" si="61"/>
        <v>1176.48</v>
      </c>
      <c r="K1071" s="57">
        <f t="shared" si="62"/>
        <v>1013.76</v>
      </c>
    </row>
    <row r="1072" spans="1:13" ht="15" x14ac:dyDescent="0.2">
      <c r="A1072" s="50" t="s">
        <v>817</v>
      </c>
      <c r="B1072" s="51" t="s">
        <v>313</v>
      </c>
      <c r="C1072" s="60"/>
      <c r="D1072" s="58" t="s">
        <v>577</v>
      </c>
      <c r="E1072" s="53">
        <v>24</v>
      </c>
      <c r="F1072" s="9">
        <v>7.04</v>
      </c>
      <c r="G1072" s="82">
        <v>8.17</v>
      </c>
      <c r="H1072" s="54">
        <f t="shared" si="60"/>
        <v>196.07999999999998</v>
      </c>
      <c r="I1072" s="55">
        <v>0</v>
      </c>
      <c r="J1072" s="56">
        <f t="shared" si="61"/>
        <v>196.07999999999998</v>
      </c>
      <c r="K1072" s="57">
        <f t="shared" si="62"/>
        <v>168.96</v>
      </c>
    </row>
    <row r="1073" spans="1:11" ht="15" x14ac:dyDescent="0.2">
      <c r="A1073" s="50" t="s">
        <v>817</v>
      </c>
      <c r="B1073" s="51" t="s">
        <v>326</v>
      </c>
      <c r="C1073" s="60"/>
      <c r="D1073" s="58" t="s">
        <v>626</v>
      </c>
      <c r="E1073" s="53">
        <v>24</v>
      </c>
      <c r="F1073" s="9">
        <v>7.04</v>
      </c>
      <c r="G1073" s="82">
        <v>8.17</v>
      </c>
      <c r="H1073" s="54">
        <f t="shared" si="60"/>
        <v>196.07999999999998</v>
      </c>
      <c r="I1073" s="55">
        <v>0</v>
      </c>
      <c r="J1073" s="56">
        <f t="shared" si="61"/>
        <v>196.07999999999998</v>
      </c>
      <c r="K1073" s="57">
        <f t="shared" si="62"/>
        <v>168.96</v>
      </c>
    </row>
    <row r="1074" spans="1:11" ht="15" x14ac:dyDescent="0.2">
      <c r="A1074" s="50" t="s">
        <v>817</v>
      </c>
      <c r="B1074" s="51" t="s">
        <v>332</v>
      </c>
      <c r="C1074" s="60"/>
      <c r="D1074" s="58" t="s">
        <v>474</v>
      </c>
      <c r="E1074" s="53">
        <v>12</v>
      </c>
      <c r="F1074" s="9">
        <v>14.58</v>
      </c>
      <c r="G1074" s="82">
        <v>16.75</v>
      </c>
      <c r="H1074" s="54">
        <f t="shared" si="60"/>
        <v>201</v>
      </c>
      <c r="I1074" s="55">
        <v>0</v>
      </c>
      <c r="J1074" s="56">
        <f t="shared" si="61"/>
        <v>201</v>
      </c>
      <c r="K1074" s="57">
        <f t="shared" si="62"/>
        <v>174.96</v>
      </c>
    </row>
    <row r="1075" spans="1:11" ht="15" x14ac:dyDescent="0.2">
      <c r="A1075" s="50" t="s">
        <v>817</v>
      </c>
      <c r="B1075" s="51" t="s">
        <v>316</v>
      </c>
      <c r="C1075" s="60"/>
      <c r="D1075" s="58" t="s">
        <v>572</v>
      </c>
      <c r="E1075" s="53">
        <v>24</v>
      </c>
      <c r="F1075" s="9">
        <v>15.92</v>
      </c>
      <c r="G1075" s="82">
        <v>16.329999999999998</v>
      </c>
      <c r="H1075" s="54">
        <f t="shared" si="60"/>
        <v>391.91999999999996</v>
      </c>
      <c r="I1075" s="55">
        <v>0.56000000000000005</v>
      </c>
      <c r="J1075" s="56">
        <f t="shared" si="61"/>
        <v>391.35999999999996</v>
      </c>
      <c r="K1075" s="57">
        <f t="shared" si="62"/>
        <v>382.08</v>
      </c>
    </row>
    <row r="1076" spans="1:11" ht="15" x14ac:dyDescent="0.2">
      <c r="A1076" s="50" t="s">
        <v>817</v>
      </c>
      <c r="B1076" s="51" t="s">
        <v>336</v>
      </c>
      <c r="C1076" s="60" t="s">
        <v>824</v>
      </c>
      <c r="D1076" s="58" t="s">
        <v>627</v>
      </c>
      <c r="E1076" s="53">
        <v>24</v>
      </c>
      <c r="F1076" s="9">
        <v>11.58</v>
      </c>
      <c r="G1076" s="82">
        <v>12</v>
      </c>
      <c r="H1076" s="54">
        <f t="shared" si="60"/>
        <v>288</v>
      </c>
      <c r="I1076" s="55">
        <v>0</v>
      </c>
      <c r="J1076" s="56">
        <f t="shared" si="61"/>
        <v>288</v>
      </c>
      <c r="K1076" s="57">
        <f t="shared" si="62"/>
        <v>277.92</v>
      </c>
    </row>
    <row r="1077" spans="1:11" ht="15" x14ac:dyDescent="0.2">
      <c r="A1077" s="50" t="s">
        <v>817</v>
      </c>
      <c r="B1077" s="51" t="s">
        <v>335</v>
      </c>
      <c r="C1077" s="60" t="s">
        <v>825</v>
      </c>
      <c r="D1077" s="58" t="s">
        <v>575</v>
      </c>
      <c r="E1077" s="53">
        <v>72</v>
      </c>
      <c r="F1077" s="9">
        <v>7.04</v>
      </c>
      <c r="G1077" s="82">
        <v>8.17</v>
      </c>
      <c r="H1077" s="54">
        <f t="shared" si="60"/>
        <v>588.24</v>
      </c>
      <c r="I1077" s="55">
        <v>0.24</v>
      </c>
      <c r="J1077" s="56">
        <f t="shared" si="61"/>
        <v>588</v>
      </c>
      <c r="K1077" s="57">
        <f t="shared" si="62"/>
        <v>506.88</v>
      </c>
    </row>
    <row r="1078" spans="1:11" ht="15" x14ac:dyDescent="0.2">
      <c r="A1078" s="50" t="s">
        <v>817</v>
      </c>
      <c r="B1078" s="51" t="s">
        <v>335</v>
      </c>
      <c r="C1078" s="60" t="s">
        <v>826</v>
      </c>
      <c r="D1078" s="58" t="s">
        <v>575</v>
      </c>
      <c r="E1078" s="53">
        <v>480</v>
      </c>
      <c r="F1078" s="9">
        <v>7.04</v>
      </c>
      <c r="G1078" s="82">
        <v>8.17</v>
      </c>
      <c r="H1078" s="54">
        <f t="shared" si="60"/>
        <v>3921.6</v>
      </c>
      <c r="I1078" s="55">
        <v>0</v>
      </c>
      <c r="J1078" s="56">
        <f t="shared" si="61"/>
        <v>3921.6</v>
      </c>
      <c r="K1078" s="57">
        <f t="shared" si="62"/>
        <v>3379.2</v>
      </c>
    </row>
    <row r="1079" spans="1:11" ht="15" x14ac:dyDescent="0.2">
      <c r="A1079" s="50" t="s">
        <v>817</v>
      </c>
      <c r="B1079" s="51" t="s">
        <v>313</v>
      </c>
      <c r="C1079" s="60"/>
      <c r="D1079" s="58" t="s">
        <v>577</v>
      </c>
      <c r="E1079" s="53">
        <v>240</v>
      </c>
      <c r="F1079" s="9">
        <v>7.04</v>
      </c>
      <c r="G1079" s="82">
        <v>8.17</v>
      </c>
      <c r="H1079" s="54">
        <f t="shared" si="60"/>
        <v>1960.8</v>
      </c>
      <c r="I1079" s="55">
        <v>0</v>
      </c>
      <c r="J1079" s="56">
        <f t="shared" si="61"/>
        <v>1960.8</v>
      </c>
      <c r="K1079" s="57">
        <f t="shared" si="62"/>
        <v>1689.6</v>
      </c>
    </row>
    <row r="1080" spans="1:11" ht="15" x14ac:dyDescent="0.2">
      <c r="A1080" s="50" t="s">
        <v>817</v>
      </c>
      <c r="B1080" s="51" t="s">
        <v>326</v>
      </c>
      <c r="C1080" s="60"/>
      <c r="D1080" s="58" t="s">
        <v>626</v>
      </c>
      <c r="E1080" s="53">
        <v>240</v>
      </c>
      <c r="F1080" s="9">
        <v>7.04</v>
      </c>
      <c r="G1080" s="82">
        <v>8.17</v>
      </c>
      <c r="H1080" s="54">
        <f t="shared" si="60"/>
        <v>1960.8</v>
      </c>
      <c r="I1080" s="55">
        <v>0</v>
      </c>
      <c r="J1080" s="56">
        <f t="shared" si="61"/>
        <v>1960.8</v>
      </c>
      <c r="K1080" s="57">
        <f t="shared" si="62"/>
        <v>1689.6</v>
      </c>
    </row>
    <row r="1081" spans="1:11" ht="15" x14ac:dyDescent="0.2">
      <c r="A1081" s="50" t="s">
        <v>817</v>
      </c>
      <c r="B1081" s="51" t="s">
        <v>316</v>
      </c>
      <c r="C1081" s="60"/>
      <c r="D1081" s="58" t="s">
        <v>572</v>
      </c>
      <c r="E1081" s="53">
        <v>300</v>
      </c>
      <c r="F1081" s="9">
        <v>15.92</v>
      </c>
      <c r="G1081" s="82">
        <v>16.329999999999998</v>
      </c>
      <c r="H1081" s="54">
        <f t="shared" si="60"/>
        <v>4898.9999999999991</v>
      </c>
      <c r="I1081" s="55">
        <v>2.2000000000000002</v>
      </c>
      <c r="J1081" s="56">
        <f t="shared" si="61"/>
        <v>4896.7999999999993</v>
      </c>
      <c r="K1081" s="57">
        <f t="shared" si="62"/>
        <v>4776</v>
      </c>
    </row>
    <row r="1082" spans="1:11" ht="15" x14ac:dyDescent="0.2">
      <c r="A1082" s="50" t="s">
        <v>817</v>
      </c>
      <c r="B1082" s="51" t="s">
        <v>335</v>
      </c>
      <c r="C1082" s="60" t="s">
        <v>827</v>
      </c>
      <c r="D1082" s="58" t="s">
        <v>575</v>
      </c>
      <c r="E1082" s="53">
        <v>96</v>
      </c>
      <c r="F1082" s="9">
        <v>7.04</v>
      </c>
      <c r="G1082" s="82">
        <v>8.17</v>
      </c>
      <c r="H1082" s="54">
        <f t="shared" si="60"/>
        <v>784.31999999999994</v>
      </c>
      <c r="I1082" s="55">
        <v>0</v>
      </c>
      <c r="J1082" s="56">
        <f t="shared" si="61"/>
        <v>784.31999999999994</v>
      </c>
      <c r="K1082" s="57">
        <f t="shared" si="62"/>
        <v>675.84</v>
      </c>
    </row>
    <row r="1083" spans="1:11" ht="15" x14ac:dyDescent="0.2">
      <c r="A1083" s="50" t="s">
        <v>817</v>
      </c>
      <c r="B1083" s="51" t="s">
        <v>313</v>
      </c>
      <c r="C1083" s="60"/>
      <c r="D1083" s="58" t="s">
        <v>577</v>
      </c>
      <c r="E1083" s="53">
        <v>48</v>
      </c>
      <c r="F1083" s="9">
        <v>7.04</v>
      </c>
      <c r="G1083" s="82">
        <v>8.17</v>
      </c>
      <c r="H1083" s="54">
        <f t="shared" si="60"/>
        <v>392.15999999999997</v>
      </c>
      <c r="I1083" s="55">
        <v>0</v>
      </c>
      <c r="J1083" s="56">
        <f t="shared" si="61"/>
        <v>392.15999999999997</v>
      </c>
      <c r="K1083" s="57">
        <f t="shared" si="62"/>
        <v>337.92</v>
      </c>
    </row>
    <row r="1084" spans="1:11" ht="15" x14ac:dyDescent="0.2">
      <c r="A1084" s="50" t="s">
        <v>817</v>
      </c>
      <c r="B1084" s="51" t="s">
        <v>326</v>
      </c>
      <c r="C1084" s="60"/>
      <c r="D1084" s="58" t="s">
        <v>626</v>
      </c>
      <c r="E1084" s="53">
        <v>48</v>
      </c>
      <c r="F1084" s="9">
        <v>7.04</v>
      </c>
      <c r="G1084" s="82">
        <v>8.17</v>
      </c>
      <c r="H1084" s="54">
        <f t="shared" si="60"/>
        <v>392.15999999999997</v>
      </c>
      <c r="I1084" s="55">
        <v>0</v>
      </c>
      <c r="J1084" s="56">
        <f t="shared" si="61"/>
        <v>392.15999999999997</v>
      </c>
      <c r="K1084" s="57">
        <f t="shared" si="62"/>
        <v>337.92</v>
      </c>
    </row>
    <row r="1085" spans="1:11" ht="15" x14ac:dyDescent="0.2">
      <c r="A1085" s="50" t="s">
        <v>817</v>
      </c>
      <c r="B1085" s="51" t="s">
        <v>317</v>
      </c>
      <c r="C1085" s="60"/>
      <c r="D1085" s="58" t="s">
        <v>580</v>
      </c>
      <c r="E1085" s="53">
        <v>12</v>
      </c>
      <c r="F1085" s="9">
        <v>59.17</v>
      </c>
      <c r="G1085" s="82">
        <v>61</v>
      </c>
      <c r="H1085" s="54">
        <f t="shared" si="60"/>
        <v>732</v>
      </c>
      <c r="I1085" s="55">
        <v>0</v>
      </c>
      <c r="J1085" s="56">
        <f t="shared" si="61"/>
        <v>732</v>
      </c>
      <c r="K1085" s="57">
        <f t="shared" si="62"/>
        <v>710.04</v>
      </c>
    </row>
    <row r="1086" spans="1:11" ht="15" x14ac:dyDescent="0.2">
      <c r="A1086" s="50" t="s">
        <v>817</v>
      </c>
      <c r="B1086" s="51" t="s">
        <v>318</v>
      </c>
      <c r="C1086" s="60"/>
      <c r="D1086" s="58" t="s">
        <v>581</v>
      </c>
      <c r="E1086" s="53">
        <v>12</v>
      </c>
      <c r="F1086" s="9">
        <v>59.17</v>
      </c>
      <c r="G1086" s="82">
        <v>61</v>
      </c>
      <c r="H1086" s="54">
        <f t="shared" si="60"/>
        <v>732</v>
      </c>
      <c r="I1086" s="55">
        <v>0.64</v>
      </c>
      <c r="J1086" s="56">
        <f t="shared" si="61"/>
        <v>731.36</v>
      </c>
      <c r="K1086" s="57">
        <f t="shared" si="62"/>
        <v>710.04</v>
      </c>
    </row>
    <row r="1087" spans="1:11" ht="15" x14ac:dyDescent="0.2">
      <c r="A1087" s="50" t="s">
        <v>817</v>
      </c>
      <c r="B1087" s="51" t="s">
        <v>335</v>
      </c>
      <c r="C1087" s="60" t="s">
        <v>828</v>
      </c>
      <c r="D1087" s="58" t="s">
        <v>575</v>
      </c>
      <c r="E1087" s="53">
        <v>408</v>
      </c>
      <c r="F1087" s="9">
        <v>7.04</v>
      </c>
      <c r="G1087" s="82">
        <v>8.17</v>
      </c>
      <c r="H1087" s="54">
        <f t="shared" si="60"/>
        <v>3333.36</v>
      </c>
      <c r="I1087" s="55">
        <v>0</v>
      </c>
      <c r="J1087" s="56">
        <f t="shared" si="61"/>
        <v>3333.36</v>
      </c>
      <c r="K1087" s="57">
        <f t="shared" si="62"/>
        <v>2872.32</v>
      </c>
    </row>
    <row r="1088" spans="1:11" ht="15" x14ac:dyDescent="0.2">
      <c r="A1088" s="50" t="s">
        <v>817</v>
      </c>
      <c r="B1088" s="51" t="s">
        <v>313</v>
      </c>
      <c r="C1088" s="60"/>
      <c r="D1088" s="58" t="s">
        <v>577</v>
      </c>
      <c r="E1088" s="53">
        <v>120</v>
      </c>
      <c r="F1088" s="9">
        <v>7.04</v>
      </c>
      <c r="G1088" s="82">
        <v>8.17</v>
      </c>
      <c r="H1088" s="54">
        <f t="shared" si="60"/>
        <v>980.4</v>
      </c>
      <c r="I1088" s="55">
        <v>0</v>
      </c>
      <c r="J1088" s="56">
        <f t="shared" si="61"/>
        <v>980.4</v>
      </c>
      <c r="K1088" s="57">
        <f t="shared" si="62"/>
        <v>844.8</v>
      </c>
    </row>
    <row r="1089" spans="1:11" ht="15" x14ac:dyDescent="0.2">
      <c r="A1089" s="50" t="s">
        <v>817</v>
      </c>
      <c r="B1089" s="51" t="s">
        <v>326</v>
      </c>
      <c r="C1089" s="60"/>
      <c r="D1089" s="58" t="s">
        <v>626</v>
      </c>
      <c r="E1089" s="53">
        <v>120</v>
      </c>
      <c r="F1089" s="9">
        <v>7.04</v>
      </c>
      <c r="G1089" s="82">
        <v>8.17</v>
      </c>
      <c r="H1089" s="54">
        <f t="shared" si="60"/>
        <v>980.4</v>
      </c>
      <c r="I1089" s="55">
        <v>0</v>
      </c>
      <c r="J1089" s="56">
        <f t="shared" si="61"/>
        <v>980.4</v>
      </c>
      <c r="K1089" s="57">
        <f t="shared" si="62"/>
        <v>844.8</v>
      </c>
    </row>
    <row r="1090" spans="1:11" ht="15" x14ac:dyDescent="0.2">
      <c r="A1090" s="50" t="s">
        <v>817</v>
      </c>
      <c r="B1090" s="51" t="s">
        <v>317</v>
      </c>
      <c r="C1090" s="60"/>
      <c r="D1090" s="58" t="s">
        <v>580</v>
      </c>
      <c r="E1090" s="53">
        <v>12</v>
      </c>
      <c r="F1090" s="9">
        <v>59.17</v>
      </c>
      <c r="G1090" s="82">
        <v>61</v>
      </c>
      <c r="H1090" s="54">
        <f t="shared" si="60"/>
        <v>732</v>
      </c>
      <c r="I1090" s="55">
        <v>0</v>
      </c>
      <c r="J1090" s="56">
        <f t="shared" si="61"/>
        <v>732</v>
      </c>
      <c r="K1090" s="57">
        <f t="shared" si="62"/>
        <v>710.04</v>
      </c>
    </row>
    <row r="1091" spans="1:11" ht="15" x14ac:dyDescent="0.2">
      <c r="A1091" s="50" t="s">
        <v>817</v>
      </c>
      <c r="B1091" s="51" t="s">
        <v>316</v>
      </c>
      <c r="C1091" s="60"/>
      <c r="D1091" s="58" t="s">
        <v>572</v>
      </c>
      <c r="E1091" s="53">
        <v>60</v>
      </c>
      <c r="F1091" s="9">
        <v>15.92</v>
      </c>
      <c r="G1091" s="82">
        <v>16.329999999999998</v>
      </c>
      <c r="H1091" s="54">
        <f t="shared" si="60"/>
        <v>979.8</v>
      </c>
      <c r="I1091" s="55">
        <v>1.96</v>
      </c>
      <c r="J1091" s="56">
        <f t="shared" si="61"/>
        <v>977.83999999999992</v>
      </c>
      <c r="K1091" s="57">
        <f t="shared" si="62"/>
        <v>955.2</v>
      </c>
    </row>
    <row r="1092" spans="1:11" ht="15" x14ac:dyDescent="0.2">
      <c r="A1092" s="50" t="s">
        <v>817</v>
      </c>
      <c r="B1092" s="51" t="s">
        <v>316</v>
      </c>
      <c r="C1092" s="60" t="s">
        <v>829</v>
      </c>
      <c r="D1092" s="58" t="s">
        <v>572</v>
      </c>
      <c r="E1092" s="53">
        <v>96</v>
      </c>
      <c r="F1092" s="9">
        <v>15.92</v>
      </c>
      <c r="G1092" s="82">
        <v>16.329999999999998</v>
      </c>
      <c r="H1092" s="54">
        <f t="shared" si="60"/>
        <v>1567.6799999999998</v>
      </c>
      <c r="I1092" s="55">
        <v>0</v>
      </c>
      <c r="J1092" s="56">
        <f t="shared" si="61"/>
        <v>1567.6799999999998</v>
      </c>
      <c r="K1092" s="57">
        <f t="shared" si="62"/>
        <v>1528.32</v>
      </c>
    </row>
    <row r="1093" spans="1:11" ht="15" x14ac:dyDescent="0.2">
      <c r="A1093" s="50" t="s">
        <v>817</v>
      </c>
      <c r="B1093" s="51" t="s">
        <v>320</v>
      </c>
      <c r="C1093" s="60"/>
      <c r="D1093" s="58" t="s">
        <v>585</v>
      </c>
      <c r="E1093" s="53">
        <v>24</v>
      </c>
      <c r="F1093" s="9">
        <v>11.58</v>
      </c>
      <c r="G1093" s="82">
        <v>12</v>
      </c>
      <c r="H1093" s="54">
        <f t="shared" si="60"/>
        <v>288</v>
      </c>
      <c r="I1093" s="55">
        <v>0</v>
      </c>
      <c r="J1093" s="56">
        <f t="shared" si="61"/>
        <v>288</v>
      </c>
      <c r="K1093" s="57">
        <f t="shared" si="62"/>
        <v>277.92</v>
      </c>
    </row>
    <row r="1094" spans="1:11" ht="15" x14ac:dyDescent="0.2">
      <c r="A1094" s="50" t="s">
        <v>817</v>
      </c>
      <c r="B1094" s="51" t="s">
        <v>336</v>
      </c>
      <c r="C1094" s="60"/>
      <c r="D1094" s="58" t="s">
        <v>627</v>
      </c>
      <c r="E1094" s="53">
        <v>24</v>
      </c>
      <c r="F1094" s="9">
        <v>11.58</v>
      </c>
      <c r="G1094" s="82">
        <v>12</v>
      </c>
      <c r="H1094" s="54">
        <f t="shared" si="60"/>
        <v>288</v>
      </c>
      <c r="I1094" s="55">
        <v>0</v>
      </c>
      <c r="J1094" s="56">
        <f t="shared" si="61"/>
        <v>288</v>
      </c>
      <c r="K1094" s="57">
        <f t="shared" si="62"/>
        <v>277.92</v>
      </c>
    </row>
    <row r="1095" spans="1:11" ht="15" x14ac:dyDescent="0.2">
      <c r="A1095" s="50" t="s">
        <v>817</v>
      </c>
      <c r="B1095" s="51" t="s">
        <v>335</v>
      </c>
      <c r="C1095" s="60" t="s">
        <v>830</v>
      </c>
      <c r="D1095" s="58" t="s">
        <v>575</v>
      </c>
      <c r="E1095" s="53">
        <v>120</v>
      </c>
      <c r="F1095" s="9">
        <v>7.04</v>
      </c>
      <c r="G1095" s="82">
        <v>8.17</v>
      </c>
      <c r="H1095" s="54">
        <f t="shared" si="60"/>
        <v>980.4</v>
      </c>
      <c r="I1095" s="55">
        <v>0</v>
      </c>
      <c r="J1095" s="56">
        <f t="shared" si="61"/>
        <v>980.4</v>
      </c>
      <c r="K1095" s="57">
        <f t="shared" si="62"/>
        <v>844.8</v>
      </c>
    </row>
    <row r="1096" spans="1:11" ht="15" x14ac:dyDescent="0.2">
      <c r="A1096" s="50" t="s">
        <v>817</v>
      </c>
      <c r="B1096" s="51" t="s">
        <v>326</v>
      </c>
      <c r="C1096" s="60"/>
      <c r="D1096" s="58" t="s">
        <v>626</v>
      </c>
      <c r="E1096" s="53">
        <v>48</v>
      </c>
      <c r="F1096" s="9">
        <v>7.04</v>
      </c>
      <c r="G1096" s="82">
        <v>8.17</v>
      </c>
      <c r="H1096" s="54">
        <f t="shared" si="60"/>
        <v>392.15999999999997</v>
      </c>
      <c r="I1096" s="55">
        <v>0</v>
      </c>
      <c r="J1096" s="56">
        <f t="shared" si="61"/>
        <v>392.15999999999997</v>
      </c>
      <c r="K1096" s="57">
        <f t="shared" si="62"/>
        <v>337.92</v>
      </c>
    </row>
    <row r="1097" spans="1:11" ht="15" x14ac:dyDescent="0.2">
      <c r="A1097" s="50" t="s">
        <v>817</v>
      </c>
      <c r="B1097" s="51" t="s">
        <v>313</v>
      </c>
      <c r="C1097" s="60"/>
      <c r="D1097" s="58" t="s">
        <v>577</v>
      </c>
      <c r="E1097" s="53">
        <v>48</v>
      </c>
      <c r="F1097" s="9">
        <v>7.04</v>
      </c>
      <c r="G1097" s="82">
        <v>8.17</v>
      </c>
      <c r="H1097" s="54">
        <f t="shared" si="60"/>
        <v>392.15999999999997</v>
      </c>
      <c r="I1097" s="55">
        <v>0</v>
      </c>
      <c r="J1097" s="56">
        <f t="shared" si="61"/>
        <v>392.15999999999997</v>
      </c>
      <c r="K1097" s="57">
        <f t="shared" si="62"/>
        <v>337.92</v>
      </c>
    </row>
    <row r="1098" spans="1:11" ht="15" x14ac:dyDescent="0.2">
      <c r="A1098" s="50" t="s">
        <v>817</v>
      </c>
      <c r="B1098" s="51" t="s">
        <v>317</v>
      </c>
      <c r="C1098" s="60"/>
      <c r="D1098" s="58" t="s">
        <v>580</v>
      </c>
      <c r="E1098" s="53">
        <v>12</v>
      </c>
      <c r="F1098" s="9">
        <v>59.17</v>
      </c>
      <c r="G1098" s="82">
        <v>61</v>
      </c>
      <c r="H1098" s="54">
        <f t="shared" si="60"/>
        <v>732</v>
      </c>
      <c r="I1098" s="55">
        <v>0.72</v>
      </c>
      <c r="J1098" s="56">
        <f t="shared" si="61"/>
        <v>731.28</v>
      </c>
      <c r="K1098" s="57">
        <f t="shared" si="62"/>
        <v>710.04</v>
      </c>
    </row>
    <row r="1099" spans="1:11" ht="15" x14ac:dyDescent="0.2">
      <c r="A1099" s="50" t="s">
        <v>817</v>
      </c>
      <c r="B1099" s="51" t="s">
        <v>319</v>
      </c>
      <c r="C1099" s="60" t="s">
        <v>831</v>
      </c>
      <c r="D1099" s="58" t="s">
        <v>576</v>
      </c>
      <c r="E1099" s="53">
        <v>12</v>
      </c>
      <c r="F1099" s="9">
        <v>11.58</v>
      </c>
      <c r="G1099" s="82">
        <v>12</v>
      </c>
      <c r="H1099" s="54">
        <f t="shared" si="60"/>
        <v>144</v>
      </c>
      <c r="I1099" s="55">
        <v>0</v>
      </c>
      <c r="J1099" s="56">
        <f t="shared" si="61"/>
        <v>144</v>
      </c>
      <c r="K1099" s="57">
        <f t="shared" si="62"/>
        <v>138.96</v>
      </c>
    </row>
    <row r="1100" spans="1:11" ht="15" x14ac:dyDescent="0.2">
      <c r="A1100" s="50" t="s">
        <v>817</v>
      </c>
      <c r="B1100" s="51" t="s">
        <v>318</v>
      </c>
      <c r="C1100" s="60" t="s">
        <v>832</v>
      </c>
      <c r="D1100" s="58" t="s">
        <v>581</v>
      </c>
      <c r="E1100" s="53">
        <v>1</v>
      </c>
      <c r="F1100" s="9">
        <v>59.17</v>
      </c>
      <c r="G1100" s="82">
        <v>61</v>
      </c>
      <c r="H1100" s="54">
        <f t="shared" si="60"/>
        <v>61</v>
      </c>
      <c r="I1100" s="55">
        <v>0</v>
      </c>
      <c r="J1100" s="56">
        <f t="shared" si="61"/>
        <v>61</v>
      </c>
      <c r="K1100" s="57">
        <f t="shared" si="62"/>
        <v>59.17</v>
      </c>
    </row>
    <row r="1101" spans="1:11" ht="15" x14ac:dyDescent="0.2">
      <c r="A1101" s="50" t="s">
        <v>817</v>
      </c>
      <c r="B1101" s="51" t="s">
        <v>317</v>
      </c>
      <c r="C1101" s="60"/>
      <c r="D1101" s="58" t="s">
        <v>580</v>
      </c>
      <c r="E1101" s="53">
        <v>1</v>
      </c>
      <c r="F1101" s="9">
        <v>59.17</v>
      </c>
      <c r="G1101" s="82">
        <v>61</v>
      </c>
      <c r="H1101" s="54">
        <f t="shared" si="60"/>
        <v>61</v>
      </c>
      <c r="I1101" s="55">
        <v>0</v>
      </c>
      <c r="J1101" s="56">
        <f t="shared" si="61"/>
        <v>61</v>
      </c>
      <c r="K1101" s="57">
        <f t="shared" si="62"/>
        <v>59.17</v>
      </c>
    </row>
    <row r="1102" spans="1:11" ht="15" x14ac:dyDescent="0.2">
      <c r="A1102" s="50" t="s">
        <v>833</v>
      </c>
      <c r="B1102" s="51" t="s">
        <v>316</v>
      </c>
      <c r="C1102" s="60" t="s">
        <v>838</v>
      </c>
      <c r="D1102" s="58" t="s">
        <v>572</v>
      </c>
      <c r="E1102" s="53">
        <v>24</v>
      </c>
      <c r="F1102" s="9">
        <v>15.92</v>
      </c>
      <c r="G1102" s="10">
        <v>16.329999999999998</v>
      </c>
      <c r="H1102" s="54">
        <f t="shared" si="60"/>
        <v>391.91999999999996</v>
      </c>
      <c r="I1102" s="55">
        <v>0</v>
      </c>
      <c r="J1102" s="56">
        <f t="shared" si="61"/>
        <v>391.91999999999996</v>
      </c>
      <c r="K1102" s="57">
        <f t="shared" si="62"/>
        <v>382.08</v>
      </c>
    </row>
    <row r="1103" spans="1:11" ht="15" x14ac:dyDescent="0.2">
      <c r="A1103" s="50" t="s">
        <v>833</v>
      </c>
      <c r="B1103" s="51" t="s">
        <v>319</v>
      </c>
      <c r="C1103" s="60" t="s">
        <v>839</v>
      </c>
      <c r="D1103" s="58" t="s">
        <v>576</v>
      </c>
      <c r="E1103" s="53">
        <v>24</v>
      </c>
      <c r="F1103" s="9">
        <v>11.58</v>
      </c>
      <c r="G1103" s="10">
        <v>12</v>
      </c>
      <c r="H1103" s="54">
        <f t="shared" si="60"/>
        <v>288</v>
      </c>
      <c r="I1103" s="55">
        <v>0</v>
      </c>
      <c r="J1103" s="56">
        <f t="shared" si="61"/>
        <v>288</v>
      </c>
      <c r="K1103" s="57">
        <f t="shared" si="62"/>
        <v>277.92</v>
      </c>
    </row>
    <row r="1104" spans="1:11" ht="15" x14ac:dyDescent="0.2">
      <c r="A1104" s="50" t="s">
        <v>833</v>
      </c>
      <c r="B1104" s="51" t="s">
        <v>320</v>
      </c>
      <c r="C1104" s="60"/>
      <c r="D1104" s="58" t="s">
        <v>585</v>
      </c>
      <c r="E1104" s="53">
        <v>24</v>
      </c>
      <c r="F1104" s="9">
        <v>11.58</v>
      </c>
      <c r="G1104" s="10">
        <v>12</v>
      </c>
      <c r="H1104" s="54">
        <f t="shared" si="60"/>
        <v>288</v>
      </c>
      <c r="I1104" s="55">
        <v>0</v>
      </c>
      <c r="J1104" s="56">
        <f t="shared" si="61"/>
        <v>288</v>
      </c>
      <c r="K1104" s="57">
        <f t="shared" si="62"/>
        <v>277.92</v>
      </c>
    </row>
    <row r="1105" spans="1:11" ht="15" x14ac:dyDescent="0.2">
      <c r="A1105" s="50" t="s">
        <v>833</v>
      </c>
      <c r="B1105" s="51" t="s">
        <v>336</v>
      </c>
      <c r="C1105" s="60"/>
      <c r="D1105" s="58" t="s">
        <v>627</v>
      </c>
      <c r="E1105" s="53">
        <v>24</v>
      </c>
      <c r="F1105" s="9">
        <v>11.58</v>
      </c>
      <c r="G1105" s="10">
        <v>12</v>
      </c>
      <c r="H1105" s="54">
        <f t="shared" si="60"/>
        <v>288</v>
      </c>
      <c r="I1105" s="55">
        <v>0</v>
      </c>
      <c r="J1105" s="56">
        <f t="shared" si="61"/>
        <v>288</v>
      </c>
      <c r="K1105" s="57">
        <f t="shared" si="62"/>
        <v>277.92</v>
      </c>
    </row>
    <row r="1106" spans="1:11" ht="15" x14ac:dyDescent="0.2">
      <c r="A1106" s="50" t="s">
        <v>833</v>
      </c>
      <c r="B1106" s="51" t="s">
        <v>335</v>
      </c>
      <c r="C1106" s="60" t="s">
        <v>840</v>
      </c>
      <c r="D1106" s="58" t="s">
        <v>575</v>
      </c>
      <c r="E1106" s="53">
        <v>96</v>
      </c>
      <c r="F1106" s="9">
        <v>7.04</v>
      </c>
      <c r="G1106" s="10">
        <v>8.17</v>
      </c>
      <c r="H1106" s="54">
        <f t="shared" si="60"/>
        <v>784.31999999999994</v>
      </c>
      <c r="I1106" s="55">
        <v>0</v>
      </c>
      <c r="J1106" s="56">
        <f t="shared" si="61"/>
        <v>784.31999999999994</v>
      </c>
      <c r="K1106" s="57">
        <f t="shared" si="62"/>
        <v>675.84</v>
      </c>
    </row>
    <row r="1107" spans="1:11" ht="15" x14ac:dyDescent="0.2">
      <c r="A1107" s="50" t="s">
        <v>833</v>
      </c>
      <c r="B1107" s="51" t="s">
        <v>313</v>
      </c>
      <c r="C1107" s="60"/>
      <c r="D1107" s="58" t="s">
        <v>577</v>
      </c>
      <c r="E1107" s="53">
        <v>24</v>
      </c>
      <c r="F1107" s="9">
        <v>7.04</v>
      </c>
      <c r="G1107" s="10">
        <v>8.17</v>
      </c>
      <c r="H1107" s="54">
        <f t="shared" si="60"/>
        <v>196.07999999999998</v>
      </c>
      <c r="I1107" s="55">
        <v>0</v>
      </c>
      <c r="J1107" s="56">
        <f t="shared" si="61"/>
        <v>196.07999999999998</v>
      </c>
      <c r="K1107" s="57">
        <f t="shared" si="62"/>
        <v>168.96</v>
      </c>
    </row>
    <row r="1108" spans="1:11" ht="15" x14ac:dyDescent="0.2">
      <c r="A1108" s="50" t="s">
        <v>833</v>
      </c>
      <c r="B1108" s="51" t="s">
        <v>316</v>
      </c>
      <c r="C1108" s="60"/>
      <c r="D1108" s="58" t="s">
        <v>572</v>
      </c>
      <c r="E1108" s="53">
        <v>36</v>
      </c>
      <c r="F1108" s="9">
        <v>15.92</v>
      </c>
      <c r="G1108" s="10">
        <v>16.329999999999998</v>
      </c>
      <c r="H1108" s="54">
        <f t="shared" si="60"/>
        <v>587.87999999999988</v>
      </c>
      <c r="I1108" s="55">
        <v>0.28000000000000003</v>
      </c>
      <c r="J1108" s="56">
        <f t="shared" si="61"/>
        <v>587.59999999999991</v>
      </c>
      <c r="K1108" s="57">
        <f t="shared" si="62"/>
        <v>573.12</v>
      </c>
    </row>
    <row r="1109" spans="1:11" ht="15" x14ac:dyDescent="0.2">
      <c r="A1109" s="50" t="s">
        <v>833</v>
      </c>
      <c r="B1109" s="51" t="s">
        <v>316</v>
      </c>
      <c r="C1109" s="60" t="s">
        <v>841</v>
      </c>
      <c r="D1109" s="58" t="s">
        <v>572</v>
      </c>
      <c r="E1109" s="53">
        <v>24</v>
      </c>
      <c r="F1109" s="9">
        <v>15.92</v>
      </c>
      <c r="G1109" s="10">
        <v>16.329999999999998</v>
      </c>
      <c r="H1109" s="54">
        <f t="shared" si="60"/>
        <v>391.91999999999996</v>
      </c>
      <c r="I1109" s="55">
        <v>0</v>
      </c>
      <c r="J1109" s="56">
        <f t="shared" si="61"/>
        <v>391.91999999999996</v>
      </c>
      <c r="K1109" s="57">
        <f t="shared" si="62"/>
        <v>382.08</v>
      </c>
    </row>
    <row r="1110" spans="1:11" ht="15" x14ac:dyDescent="0.2">
      <c r="A1110" s="50" t="s">
        <v>833</v>
      </c>
      <c r="B1110" s="51" t="s">
        <v>319</v>
      </c>
      <c r="C1110" s="60"/>
      <c r="D1110" s="58" t="s">
        <v>576</v>
      </c>
      <c r="E1110" s="53">
        <v>12</v>
      </c>
      <c r="F1110" s="9">
        <v>11.58</v>
      </c>
      <c r="G1110" s="10">
        <v>12</v>
      </c>
      <c r="H1110" s="54">
        <f t="shared" si="60"/>
        <v>144</v>
      </c>
      <c r="I1110" s="55">
        <v>0</v>
      </c>
      <c r="J1110" s="56">
        <f t="shared" si="61"/>
        <v>144</v>
      </c>
      <c r="K1110" s="57">
        <f t="shared" si="62"/>
        <v>138.96</v>
      </c>
    </row>
    <row r="1111" spans="1:11" ht="15" x14ac:dyDescent="0.2">
      <c r="A1111" s="50" t="s">
        <v>833</v>
      </c>
      <c r="B1111" s="51" t="s">
        <v>320</v>
      </c>
      <c r="C1111" s="60"/>
      <c r="D1111" s="58" t="s">
        <v>585</v>
      </c>
      <c r="E1111" s="53">
        <v>12</v>
      </c>
      <c r="F1111" s="9">
        <v>11.58</v>
      </c>
      <c r="G1111" s="10">
        <v>12</v>
      </c>
      <c r="H1111" s="54">
        <f t="shared" si="60"/>
        <v>144</v>
      </c>
      <c r="I1111" s="55">
        <v>0</v>
      </c>
      <c r="J1111" s="56">
        <f t="shared" si="61"/>
        <v>144</v>
      </c>
      <c r="K1111" s="57">
        <f t="shared" si="62"/>
        <v>138.96</v>
      </c>
    </row>
    <row r="1112" spans="1:11" ht="15" x14ac:dyDescent="0.2">
      <c r="A1112" s="50" t="s">
        <v>833</v>
      </c>
      <c r="B1112" s="51" t="s">
        <v>336</v>
      </c>
      <c r="C1112" s="60"/>
      <c r="D1112" s="58" t="s">
        <v>627</v>
      </c>
      <c r="E1112" s="53">
        <v>12</v>
      </c>
      <c r="F1112" s="9">
        <v>11.58</v>
      </c>
      <c r="G1112" s="10">
        <v>12</v>
      </c>
      <c r="H1112" s="54">
        <f t="shared" si="60"/>
        <v>144</v>
      </c>
      <c r="I1112" s="55">
        <v>0</v>
      </c>
      <c r="J1112" s="56">
        <f t="shared" si="61"/>
        <v>144</v>
      </c>
      <c r="K1112" s="57">
        <f t="shared" si="62"/>
        <v>138.96</v>
      </c>
    </row>
    <row r="1113" spans="1:11" ht="15" x14ac:dyDescent="0.2">
      <c r="A1113" s="50" t="s">
        <v>833</v>
      </c>
      <c r="B1113" s="51" t="s">
        <v>335</v>
      </c>
      <c r="C1113" s="60" t="s">
        <v>842</v>
      </c>
      <c r="D1113" s="58" t="s">
        <v>575</v>
      </c>
      <c r="E1113" s="53">
        <v>24</v>
      </c>
      <c r="F1113" s="9">
        <v>7.04</v>
      </c>
      <c r="G1113" s="10">
        <v>8.17</v>
      </c>
      <c r="H1113" s="54">
        <f t="shared" si="60"/>
        <v>196.07999999999998</v>
      </c>
      <c r="I1113" s="55">
        <v>0</v>
      </c>
      <c r="J1113" s="56">
        <f t="shared" si="61"/>
        <v>196.07999999999998</v>
      </c>
      <c r="K1113" s="57">
        <f t="shared" si="62"/>
        <v>168.96</v>
      </c>
    </row>
    <row r="1114" spans="1:11" ht="15" x14ac:dyDescent="0.2">
      <c r="A1114" s="50" t="s">
        <v>833</v>
      </c>
      <c r="B1114" s="51" t="s">
        <v>313</v>
      </c>
      <c r="C1114" s="60"/>
      <c r="D1114" s="58" t="s">
        <v>577</v>
      </c>
      <c r="E1114" s="53">
        <v>24</v>
      </c>
      <c r="F1114" s="9">
        <v>7.04</v>
      </c>
      <c r="G1114" s="10">
        <v>8.17</v>
      </c>
      <c r="H1114" s="54">
        <f t="shared" si="60"/>
        <v>196.07999999999998</v>
      </c>
      <c r="I1114" s="55">
        <v>0</v>
      </c>
      <c r="J1114" s="56">
        <f t="shared" si="61"/>
        <v>196.07999999999998</v>
      </c>
      <c r="K1114" s="57">
        <f t="shared" si="62"/>
        <v>168.96</v>
      </c>
    </row>
    <row r="1115" spans="1:11" ht="15" x14ac:dyDescent="0.2">
      <c r="A1115" s="50" t="s">
        <v>833</v>
      </c>
      <c r="B1115" s="51" t="s">
        <v>325</v>
      </c>
      <c r="C1115" s="60"/>
      <c r="D1115" s="58" t="s">
        <v>579</v>
      </c>
      <c r="E1115" s="53">
        <v>12</v>
      </c>
      <c r="F1115" s="9">
        <v>21.33</v>
      </c>
      <c r="G1115" s="10">
        <v>23.58</v>
      </c>
      <c r="H1115" s="54">
        <f t="shared" si="60"/>
        <v>282.95999999999998</v>
      </c>
      <c r="I1115" s="55">
        <v>0.12</v>
      </c>
      <c r="J1115" s="56">
        <f t="shared" si="61"/>
        <v>282.83999999999997</v>
      </c>
      <c r="K1115" s="57">
        <f t="shared" si="62"/>
        <v>255.95999999999998</v>
      </c>
    </row>
    <row r="1116" spans="1:11" ht="15" x14ac:dyDescent="0.2">
      <c r="A1116" s="50" t="s">
        <v>833</v>
      </c>
      <c r="B1116" s="51" t="s">
        <v>319</v>
      </c>
      <c r="C1116" s="60" t="s">
        <v>843</v>
      </c>
      <c r="D1116" s="58" t="s">
        <v>576</v>
      </c>
      <c r="E1116" s="53">
        <v>12</v>
      </c>
      <c r="F1116" s="9">
        <v>11.58</v>
      </c>
      <c r="G1116" s="10">
        <v>12</v>
      </c>
      <c r="H1116" s="54">
        <f t="shared" si="60"/>
        <v>144</v>
      </c>
      <c r="I1116" s="55">
        <v>0</v>
      </c>
      <c r="J1116" s="56">
        <f t="shared" si="61"/>
        <v>144</v>
      </c>
      <c r="K1116" s="57">
        <f t="shared" si="62"/>
        <v>138.96</v>
      </c>
    </row>
    <row r="1117" spans="1:11" ht="15" x14ac:dyDescent="0.2">
      <c r="A1117" s="50" t="s">
        <v>833</v>
      </c>
      <c r="B1117" s="51" t="s">
        <v>320</v>
      </c>
      <c r="C1117" s="60"/>
      <c r="D1117" s="58" t="s">
        <v>585</v>
      </c>
      <c r="E1117" s="53">
        <v>12</v>
      </c>
      <c r="F1117" s="9">
        <v>11.58</v>
      </c>
      <c r="G1117" s="10">
        <v>12</v>
      </c>
      <c r="H1117" s="54">
        <f t="shared" si="60"/>
        <v>144</v>
      </c>
      <c r="I1117" s="55">
        <v>0</v>
      </c>
      <c r="J1117" s="56">
        <f t="shared" si="61"/>
        <v>144</v>
      </c>
      <c r="K1117" s="57">
        <f t="shared" si="62"/>
        <v>138.96</v>
      </c>
    </row>
    <row r="1118" spans="1:11" ht="15" x14ac:dyDescent="0.2">
      <c r="A1118" s="50" t="s">
        <v>833</v>
      </c>
      <c r="B1118" s="51" t="s">
        <v>336</v>
      </c>
      <c r="C1118" s="60"/>
      <c r="D1118" s="58" t="s">
        <v>627</v>
      </c>
      <c r="E1118" s="53">
        <v>12</v>
      </c>
      <c r="F1118" s="9">
        <v>11.58</v>
      </c>
      <c r="G1118" s="10">
        <v>12</v>
      </c>
      <c r="H1118" s="54">
        <f t="shared" si="60"/>
        <v>144</v>
      </c>
      <c r="I1118" s="55">
        <v>0</v>
      </c>
      <c r="J1118" s="56">
        <f t="shared" si="61"/>
        <v>144</v>
      </c>
      <c r="K1118" s="57">
        <f t="shared" si="62"/>
        <v>138.96</v>
      </c>
    </row>
    <row r="1119" spans="1:11" ht="15" x14ac:dyDescent="0.2">
      <c r="A1119" s="50" t="s">
        <v>833</v>
      </c>
      <c r="B1119" s="51" t="s">
        <v>335</v>
      </c>
      <c r="C1119" s="60"/>
      <c r="D1119" s="58" t="s">
        <v>575</v>
      </c>
      <c r="E1119" s="53">
        <v>12</v>
      </c>
      <c r="F1119" s="9">
        <v>7.04</v>
      </c>
      <c r="G1119" s="10">
        <v>8.17</v>
      </c>
      <c r="H1119" s="54">
        <f t="shared" si="60"/>
        <v>98.039999999999992</v>
      </c>
      <c r="I1119" s="55">
        <v>0</v>
      </c>
      <c r="J1119" s="56">
        <f t="shared" si="61"/>
        <v>98.039999999999992</v>
      </c>
      <c r="K1119" s="57">
        <f t="shared" si="62"/>
        <v>84.48</v>
      </c>
    </row>
    <row r="1120" spans="1:11" ht="15" x14ac:dyDescent="0.2">
      <c r="A1120" s="50" t="s">
        <v>833</v>
      </c>
      <c r="B1120" s="51" t="s">
        <v>313</v>
      </c>
      <c r="C1120" s="60"/>
      <c r="D1120" s="58" t="s">
        <v>577</v>
      </c>
      <c r="E1120" s="53">
        <v>12</v>
      </c>
      <c r="F1120" s="9">
        <v>7.04</v>
      </c>
      <c r="G1120" s="10">
        <v>8.17</v>
      </c>
      <c r="H1120" s="54">
        <f t="shared" si="60"/>
        <v>98.039999999999992</v>
      </c>
      <c r="I1120" s="55">
        <v>0</v>
      </c>
      <c r="J1120" s="56">
        <f t="shared" si="61"/>
        <v>98.039999999999992</v>
      </c>
      <c r="K1120" s="57">
        <f t="shared" si="62"/>
        <v>84.48</v>
      </c>
    </row>
    <row r="1121" spans="1:11" ht="15" x14ac:dyDescent="0.2">
      <c r="A1121" s="50" t="s">
        <v>833</v>
      </c>
      <c r="B1121" s="51" t="s">
        <v>328</v>
      </c>
      <c r="C1121" s="60"/>
      <c r="D1121" s="58" t="s">
        <v>647</v>
      </c>
      <c r="E1121" s="53">
        <v>6</v>
      </c>
      <c r="F1121" s="9">
        <v>59.17</v>
      </c>
      <c r="G1121" s="10">
        <v>61</v>
      </c>
      <c r="H1121" s="54">
        <f t="shared" si="60"/>
        <v>366</v>
      </c>
      <c r="I1121" s="55">
        <v>0</v>
      </c>
      <c r="J1121" s="56">
        <f t="shared" si="61"/>
        <v>366</v>
      </c>
      <c r="K1121" s="57">
        <f t="shared" si="62"/>
        <v>355.02</v>
      </c>
    </row>
    <row r="1122" spans="1:11" ht="15" x14ac:dyDescent="0.2">
      <c r="A1122" s="50" t="s">
        <v>833</v>
      </c>
      <c r="B1122" s="51" t="s">
        <v>318</v>
      </c>
      <c r="C1122" s="60"/>
      <c r="D1122" s="58" t="s">
        <v>581</v>
      </c>
      <c r="E1122" s="53">
        <v>6</v>
      </c>
      <c r="F1122" s="9">
        <v>59.17</v>
      </c>
      <c r="G1122" s="10">
        <v>61</v>
      </c>
      <c r="H1122" s="54">
        <f t="shared" si="60"/>
        <v>366</v>
      </c>
      <c r="I1122" s="55">
        <v>0.08</v>
      </c>
      <c r="J1122" s="56">
        <f t="shared" si="61"/>
        <v>365.92</v>
      </c>
      <c r="K1122" s="57">
        <f t="shared" si="62"/>
        <v>355.02</v>
      </c>
    </row>
    <row r="1123" spans="1:11" ht="15" x14ac:dyDescent="0.2">
      <c r="A1123" s="50" t="s">
        <v>833</v>
      </c>
      <c r="B1123" s="51" t="s">
        <v>335</v>
      </c>
      <c r="C1123" s="60" t="s">
        <v>844</v>
      </c>
      <c r="D1123" s="58" t="s">
        <v>575</v>
      </c>
      <c r="E1123" s="53">
        <v>240</v>
      </c>
      <c r="F1123" s="9">
        <v>7.04</v>
      </c>
      <c r="G1123" s="10">
        <v>8.17</v>
      </c>
      <c r="H1123" s="54">
        <f t="shared" si="60"/>
        <v>1960.8</v>
      </c>
      <c r="I1123" s="55">
        <v>0</v>
      </c>
      <c r="J1123" s="56">
        <f t="shared" si="61"/>
        <v>1960.8</v>
      </c>
      <c r="K1123" s="57">
        <f t="shared" si="62"/>
        <v>1689.6</v>
      </c>
    </row>
    <row r="1124" spans="1:11" ht="15" x14ac:dyDescent="0.2">
      <c r="A1124" s="50" t="s">
        <v>833</v>
      </c>
      <c r="B1124" s="51" t="s">
        <v>325</v>
      </c>
      <c r="C1124" s="60"/>
      <c r="D1124" s="58" t="s">
        <v>579</v>
      </c>
      <c r="E1124" s="53">
        <v>12</v>
      </c>
      <c r="F1124" s="9">
        <v>21.33</v>
      </c>
      <c r="G1124" s="10">
        <v>23.58</v>
      </c>
      <c r="H1124" s="54">
        <f t="shared" si="60"/>
        <v>282.95999999999998</v>
      </c>
      <c r="I1124" s="55">
        <v>0</v>
      </c>
      <c r="J1124" s="56">
        <f t="shared" si="61"/>
        <v>282.95999999999998</v>
      </c>
      <c r="K1124" s="57">
        <f t="shared" si="62"/>
        <v>255.95999999999998</v>
      </c>
    </row>
    <row r="1125" spans="1:11" ht="15" x14ac:dyDescent="0.2">
      <c r="A1125" s="50" t="s">
        <v>833</v>
      </c>
      <c r="B1125" s="51" t="s">
        <v>313</v>
      </c>
      <c r="C1125" s="60"/>
      <c r="D1125" s="58" t="s">
        <v>577</v>
      </c>
      <c r="E1125" s="53">
        <v>48</v>
      </c>
      <c r="F1125" s="9">
        <v>7.04</v>
      </c>
      <c r="G1125" s="10">
        <v>8.17</v>
      </c>
      <c r="H1125" s="54">
        <f t="shared" ref="H1125:H1157" si="63">E1125*G1125</f>
        <v>392.15999999999997</v>
      </c>
      <c r="I1125" s="55">
        <v>0.92</v>
      </c>
      <c r="J1125" s="56">
        <f t="shared" ref="J1125:J1157" si="64">(G1125*E1125)-I1125</f>
        <v>391.23999999999995</v>
      </c>
      <c r="K1125" s="57">
        <f t="shared" ref="K1125:K1157" si="65">E1125*F1125</f>
        <v>337.92</v>
      </c>
    </row>
    <row r="1126" spans="1:11" ht="15" x14ac:dyDescent="0.2">
      <c r="A1126" s="50" t="s">
        <v>833</v>
      </c>
      <c r="B1126" s="51" t="s">
        <v>335</v>
      </c>
      <c r="C1126" s="60" t="s">
        <v>845</v>
      </c>
      <c r="D1126" s="58" t="s">
        <v>575</v>
      </c>
      <c r="E1126" s="53">
        <v>48</v>
      </c>
      <c r="F1126" s="9">
        <v>7.04</v>
      </c>
      <c r="G1126" s="10">
        <v>8.17</v>
      </c>
      <c r="H1126" s="54">
        <f t="shared" si="63"/>
        <v>392.15999999999997</v>
      </c>
      <c r="I1126" s="55">
        <v>0</v>
      </c>
      <c r="J1126" s="56">
        <f t="shared" si="64"/>
        <v>392.15999999999997</v>
      </c>
      <c r="K1126" s="57">
        <f t="shared" si="65"/>
        <v>337.92</v>
      </c>
    </row>
    <row r="1127" spans="1:11" ht="15" x14ac:dyDescent="0.2">
      <c r="A1127" s="50" t="s">
        <v>833</v>
      </c>
      <c r="B1127" s="51" t="s">
        <v>328</v>
      </c>
      <c r="C1127" s="60"/>
      <c r="D1127" s="58" t="s">
        <v>647</v>
      </c>
      <c r="E1127" s="53">
        <v>3</v>
      </c>
      <c r="F1127" s="9">
        <v>59.17</v>
      </c>
      <c r="G1127" s="10">
        <v>61</v>
      </c>
      <c r="H1127" s="54">
        <f t="shared" si="63"/>
        <v>183</v>
      </c>
      <c r="I1127" s="55">
        <v>0</v>
      </c>
      <c r="J1127" s="56">
        <f t="shared" si="64"/>
        <v>183</v>
      </c>
      <c r="K1127" s="57">
        <f t="shared" si="65"/>
        <v>177.51</v>
      </c>
    </row>
    <row r="1128" spans="1:11" ht="15" x14ac:dyDescent="0.2">
      <c r="A1128" s="50" t="s">
        <v>833</v>
      </c>
      <c r="B1128" s="51" t="s">
        <v>316</v>
      </c>
      <c r="C1128" s="60"/>
      <c r="D1128" s="58" t="s">
        <v>572</v>
      </c>
      <c r="E1128" s="53">
        <v>12</v>
      </c>
      <c r="F1128" s="9">
        <v>15.92</v>
      </c>
      <c r="G1128" s="10">
        <v>16.329999999999998</v>
      </c>
      <c r="H1128" s="54">
        <f t="shared" si="63"/>
        <v>195.95999999999998</v>
      </c>
      <c r="I1128" s="55">
        <v>0.12</v>
      </c>
      <c r="J1128" s="56">
        <f t="shared" si="64"/>
        <v>195.83999999999997</v>
      </c>
      <c r="K1128" s="57">
        <f t="shared" si="65"/>
        <v>191.04</v>
      </c>
    </row>
    <row r="1129" spans="1:11" ht="15" x14ac:dyDescent="0.2">
      <c r="A1129" s="50" t="s">
        <v>833</v>
      </c>
      <c r="B1129" s="51" t="s">
        <v>316</v>
      </c>
      <c r="C1129" s="60" t="s">
        <v>846</v>
      </c>
      <c r="D1129" s="58" t="s">
        <v>572</v>
      </c>
      <c r="E1129" s="53">
        <v>120</v>
      </c>
      <c r="F1129" s="9">
        <v>15.92</v>
      </c>
      <c r="G1129" s="10">
        <v>16.329999999999998</v>
      </c>
      <c r="H1129" s="54">
        <f t="shared" si="63"/>
        <v>1959.6</v>
      </c>
      <c r="I1129" s="55">
        <v>0</v>
      </c>
      <c r="J1129" s="56">
        <f t="shared" si="64"/>
        <v>1959.6</v>
      </c>
      <c r="K1129" s="57">
        <f t="shared" si="65"/>
        <v>1910.4</v>
      </c>
    </row>
    <row r="1130" spans="1:11" ht="15" x14ac:dyDescent="0.2">
      <c r="A1130" s="50" t="s">
        <v>833</v>
      </c>
      <c r="B1130" s="51" t="s">
        <v>335</v>
      </c>
      <c r="C1130" s="60" t="s">
        <v>847</v>
      </c>
      <c r="D1130" s="58" t="s">
        <v>575</v>
      </c>
      <c r="E1130" s="53">
        <v>48</v>
      </c>
      <c r="F1130" s="9">
        <v>7.04</v>
      </c>
      <c r="G1130" s="10">
        <v>8.17</v>
      </c>
      <c r="H1130" s="54">
        <f t="shared" si="63"/>
        <v>392.15999999999997</v>
      </c>
      <c r="I1130" s="55">
        <v>0</v>
      </c>
      <c r="J1130" s="56">
        <f t="shared" si="64"/>
        <v>392.15999999999997</v>
      </c>
      <c r="K1130" s="57">
        <f t="shared" si="65"/>
        <v>337.92</v>
      </c>
    </row>
    <row r="1131" spans="1:11" ht="15" x14ac:dyDescent="0.2">
      <c r="A1131" s="50" t="s">
        <v>833</v>
      </c>
      <c r="B1131" s="51" t="s">
        <v>326</v>
      </c>
      <c r="C1131" s="60"/>
      <c r="D1131" s="58" t="s">
        <v>626</v>
      </c>
      <c r="E1131" s="53">
        <v>24</v>
      </c>
      <c r="F1131" s="9">
        <v>7.04</v>
      </c>
      <c r="G1131" s="10">
        <v>8.17</v>
      </c>
      <c r="H1131" s="54">
        <f t="shared" si="63"/>
        <v>196.07999999999998</v>
      </c>
      <c r="I1131" s="55">
        <v>0.16</v>
      </c>
      <c r="J1131" s="56">
        <f t="shared" si="64"/>
        <v>195.92</v>
      </c>
      <c r="K1131" s="57">
        <f t="shared" si="65"/>
        <v>168.96</v>
      </c>
    </row>
    <row r="1132" spans="1:11" ht="15" x14ac:dyDescent="0.2">
      <c r="A1132" s="50" t="s">
        <v>833</v>
      </c>
      <c r="B1132" s="51" t="s">
        <v>316</v>
      </c>
      <c r="C1132" s="60"/>
      <c r="D1132" s="58" t="s">
        <v>572</v>
      </c>
      <c r="E1132" s="53">
        <v>24</v>
      </c>
      <c r="F1132" s="9">
        <v>15.92</v>
      </c>
      <c r="G1132" s="10">
        <v>16.329999999999998</v>
      </c>
      <c r="H1132" s="54">
        <f t="shared" si="63"/>
        <v>391.91999999999996</v>
      </c>
      <c r="I1132" s="55">
        <v>0</v>
      </c>
      <c r="J1132" s="56">
        <f t="shared" si="64"/>
        <v>391.91999999999996</v>
      </c>
      <c r="K1132" s="57">
        <f t="shared" si="65"/>
        <v>382.08</v>
      </c>
    </row>
    <row r="1133" spans="1:11" ht="15" x14ac:dyDescent="0.2">
      <c r="A1133" s="50" t="s">
        <v>833</v>
      </c>
      <c r="B1133" s="51" t="s">
        <v>325</v>
      </c>
      <c r="C1133" s="60" t="s">
        <v>848</v>
      </c>
      <c r="D1133" s="58" t="s">
        <v>579</v>
      </c>
      <c r="E1133" s="53">
        <v>12</v>
      </c>
      <c r="F1133" s="9">
        <v>21.33</v>
      </c>
      <c r="G1133" s="10">
        <v>23.58</v>
      </c>
      <c r="H1133" s="54">
        <f t="shared" si="63"/>
        <v>282.95999999999998</v>
      </c>
      <c r="I1133" s="55">
        <v>0</v>
      </c>
      <c r="J1133" s="56">
        <f t="shared" si="64"/>
        <v>282.95999999999998</v>
      </c>
      <c r="K1133" s="57">
        <f t="shared" si="65"/>
        <v>255.95999999999998</v>
      </c>
    </row>
    <row r="1134" spans="1:11" ht="15" x14ac:dyDescent="0.2">
      <c r="A1134" s="50" t="s">
        <v>833</v>
      </c>
      <c r="B1134" s="51" t="s">
        <v>335</v>
      </c>
      <c r="C1134" s="60"/>
      <c r="D1134" s="58" t="s">
        <v>575</v>
      </c>
      <c r="E1134" s="53">
        <v>64</v>
      </c>
      <c r="F1134" s="9">
        <v>7.04</v>
      </c>
      <c r="G1134" s="10">
        <v>8.17</v>
      </c>
      <c r="H1134" s="54">
        <f t="shared" si="63"/>
        <v>522.88</v>
      </c>
      <c r="I1134" s="55">
        <v>0</v>
      </c>
      <c r="J1134" s="56">
        <f t="shared" si="64"/>
        <v>522.88</v>
      </c>
      <c r="K1134" s="57">
        <f t="shared" si="65"/>
        <v>450.56</v>
      </c>
    </row>
    <row r="1135" spans="1:11" ht="15" x14ac:dyDescent="0.2">
      <c r="A1135" s="50" t="s">
        <v>833</v>
      </c>
      <c r="B1135" s="51" t="s">
        <v>835</v>
      </c>
      <c r="C1135" s="60"/>
      <c r="D1135" s="58" t="s">
        <v>856</v>
      </c>
      <c r="E1135" s="53">
        <v>8</v>
      </c>
      <c r="F1135" s="9">
        <v>7.67</v>
      </c>
      <c r="G1135" s="10">
        <v>8.17</v>
      </c>
      <c r="H1135" s="54">
        <f t="shared" si="63"/>
        <v>65.36</v>
      </c>
      <c r="I1135" s="55">
        <v>0</v>
      </c>
      <c r="J1135" s="56">
        <f t="shared" si="64"/>
        <v>65.36</v>
      </c>
      <c r="K1135" s="57">
        <f t="shared" si="65"/>
        <v>61.36</v>
      </c>
    </row>
    <row r="1136" spans="1:11" ht="15" x14ac:dyDescent="0.2">
      <c r="A1136" s="50" t="s">
        <v>833</v>
      </c>
      <c r="B1136" s="51" t="s">
        <v>326</v>
      </c>
      <c r="C1136" s="60"/>
      <c r="D1136" s="58" t="s">
        <v>626</v>
      </c>
      <c r="E1136" s="53">
        <v>24</v>
      </c>
      <c r="F1136" s="9">
        <v>7.04</v>
      </c>
      <c r="G1136" s="10">
        <v>8.17</v>
      </c>
      <c r="H1136" s="54">
        <f t="shared" si="63"/>
        <v>196.07999999999998</v>
      </c>
      <c r="I1136" s="55">
        <v>0.28000000000000003</v>
      </c>
      <c r="J1136" s="56">
        <f t="shared" si="64"/>
        <v>195.79999999999998</v>
      </c>
      <c r="K1136" s="57">
        <f t="shared" si="65"/>
        <v>168.96</v>
      </c>
    </row>
    <row r="1137" spans="1:11" ht="15" x14ac:dyDescent="0.2">
      <c r="A1137" s="50" t="s">
        <v>833</v>
      </c>
      <c r="B1137" s="51" t="s">
        <v>835</v>
      </c>
      <c r="C1137" s="60" t="s">
        <v>849</v>
      </c>
      <c r="D1137" s="58" t="s">
        <v>856</v>
      </c>
      <c r="E1137" s="53">
        <v>48</v>
      </c>
      <c r="F1137" s="9">
        <v>7.67</v>
      </c>
      <c r="G1137" s="10">
        <v>8.17</v>
      </c>
      <c r="H1137" s="54">
        <f t="shared" si="63"/>
        <v>392.15999999999997</v>
      </c>
      <c r="I1137" s="55">
        <v>0</v>
      </c>
      <c r="J1137" s="56">
        <f t="shared" si="64"/>
        <v>392.15999999999997</v>
      </c>
      <c r="K1137" s="57">
        <f t="shared" si="65"/>
        <v>368.15999999999997</v>
      </c>
    </row>
    <row r="1138" spans="1:11" ht="15" x14ac:dyDescent="0.2">
      <c r="A1138" s="50" t="s">
        <v>833</v>
      </c>
      <c r="B1138" s="51" t="s">
        <v>326</v>
      </c>
      <c r="C1138" s="60"/>
      <c r="D1138" s="58" t="s">
        <v>626</v>
      </c>
      <c r="E1138" s="53">
        <v>24</v>
      </c>
      <c r="F1138" s="9">
        <v>7.04</v>
      </c>
      <c r="G1138" s="10">
        <v>8.17</v>
      </c>
      <c r="H1138" s="54">
        <f t="shared" si="63"/>
        <v>196.07999999999998</v>
      </c>
      <c r="I1138" s="55">
        <v>0</v>
      </c>
      <c r="J1138" s="56">
        <f t="shared" si="64"/>
        <v>196.07999999999998</v>
      </c>
      <c r="K1138" s="57">
        <f t="shared" si="65"/>
        <v>168.96</v>
      </c>
    </row>
    <row r="1139" spans="1:11" ht="15" x14ac:dyDescent="0.2">
      <c r="A1139" s="50" t="s">
        <v>833</v>
      </c>
      <c r="B1139" s="51" t="s">
        <v>313</v>
      </c>
      <c r="C1139" s="60"/>
      <c r="D1139" s="58" t="s">
        <v>577</v>
      </c>
      <c r="E1139" s="53">
        <v>24</v>
      </c>
      <c r="F1139" s="9">
        <v>7.04</v>
      </c>
      <c r="G1139" s="10">
        <v>8.17</v>
      </c>
      <c r="H1139" s="54">
        <f t="shared" si="63"/>
        <v>196.07999999999998</v>
      </c>
      <c r="I1139" s="55">
        <v>0</v>
      </c>
      <c r="J1139" s="56">
        <f t="shared" si="64"/>
        <v>196.07999999999998</v>
      </c>
      <c r="K1139" s="57">
        <f t="shared" si="65"/>
        <v>168.96</v>
      </c>
    </row>
    <row r="1140" spans="1:11" ht="15" x14ac:dyDescent="0.2">
      <c r="A1140" s="50" t="s">
        <v>833</v>
      </c>
      <c r="B1140" s="51" t="s">
        <v>836</v>
      </c>
      <c r="C1140" s="60"/>
      <c r="D1140" s="58" t="s">
        <v>857</v>
      </c>
      <c r="E1140" s="53">
        <v>12</v>
      </c>
      <c r="F1140" s="9">
        <v>22.33</v>
      </c>
      <c r="G1140" s="10">
        <v>23.58</v>
      </c>
      <c r="H1140" s="54">
        <f t="shared" si="63"/>
        <v>282.95999999999998</v>
      </c>
      <c r="I1140" s="55">
        <v>0.28000000000000003</v>
      </c>
      <c r="J1140" s="56">
        <f t="shared" si="64"/>
        <v>282.68</v>
      </c>
      <c r="K1140" s="57">
        <f t="shared" si="65"/>
        <v>267.95999999999998</v>
      </c>
    </row>
    <row r="1141" spans="1:11" ht="15" x14ac:dyDescent="0.2">
      <c r="A1141" s="50" t="s">
        <v>833</v>
      </c>
      <c r="B1141" s="51" t="s">
        <v>316</v>
      </c>
      <c r="C1141" s="60" t="s">
        <v>850</v>
      </c>
      <c r="D1141" s="58" t="s">
        <v>572</v>
      </c>
      <c r="E1141" s="53">
        <v>72</v>
      </c>
      <c r="F1141" s="9">
        <v>15.92</v>
      </c>
      <c r="G1141" s="10">
        <v>16.329999999999998</v>
      </c>
      <c r="H1141" s="54">
        <f t="shared" si="63"/>
        <v>1175.7599999999998</v>
      </c>
      <c r="I1141" s="55">
        <v>0</v>
      </c>
      <c r="J1141" s="56">
        <f t="shared" si="64"/>
        <v>1175.7599999999998</v>
      </c>
      <c r="K1141" s="57">
        <f t="shared" si="65"/>
        <v>1146.24</v>
      </c>
    </row>
    <row r="1142" spans="1:11" ht="15" x14ac:dyDescent="0.2">
      <c r="A1142" s="50" t="s">
        <v>833</v>
      </c>
      <c r="B1142" s="51" t="s">
        <v>319</v>
      </c>
      <c r="C1142" s="60"/>
      <c r="D1142" s="58" t="s">
        <v>576</v>
      </c>
      <c r="E1142" s="53">
        <v>36</v>
      </c>
      <c r="F1142" s="9">
        <v>11.58</v>
      </c>
      <c r="G1142" s="10">
        <v>12</v>
      </c>
      <c r="H1142" s="54">
        <f t="shared" si="63"/>
        <v>432</v>
      </c>
      <c r="I1142" s="55">
        <v>0</v>
      </c>
      <c r="J1142" s="56">
        <f t="shared" si="64"/>
        <v>432</v>
      </c>
      <c r="K1142" s="57">
        <f t="shared" si="65"/>
        <v>416.88</v>
      </c>
    </row>
    <row r="1143" spans="1:11" ht="15" x14ac:dyDescent="0.2">
      <c r="A1143" s="50" t="s">
        <v>833</v>
      </c>
      <c r="B1143" s="51" t="s">
        <v>316</v>
      </c>
      <c r="C1143" s="60" t="s">
        <v>851</v>
      </c>
      <c r="D1143" s="58" t="s">
        <v>572</v>
      </c>
      <c r="E1143" s="53">
        <v>72</v>
      </c>
      <c r="F1143" s="9">
        <v>15.92</v>
      </c>
      <c r="G1143" s="10">
        <v>16.329999999999998</v>
      </c>
      <c r="H1143" s="54">
        <f t="shared" si="63"/>
        <v>1175.7599999999998</v>
      </c>
      <c r="I1143" s="55">
        <v>0</v>
      </c>
      <c r="J1143" s="56">
        <f t="shared" si="64"/>
        <v>1175.7599999999998</v>
      </c>
      <c r="K1143" s="57">
        <f t="shared" si="65"/>
        <v>1146.24</v>
      </c>
    </row>
    <row r="1144" spans="1:11" ht="15" x14ac:dyDescent="0.2">
      <c r="A1144" s="50" t="s">
        <v>833</v>
      </c>
      <c r="B1144" s="51" t="s">
        <v>835</v>
      </c>
      <c r="C1144" s="60"/>
      <c r="D1144" s="58" t="s">
        <v>856</v>
      </c>
      <c r="E1144" s="53">
        <v>384</v>
      </c>
      <c r="F1144" s="9">
        <v>7.67</v>
      </c>
      <c r="G1144" s="10">
        <v>8.17</v>
      </c>
      <c r="H1144" s="54">
        <f t="shared" si="63"/>
        <v>3137.2799999999997</v>
      </c>
      <c r="I1144" s="55">
        <v>1.04</v>
      </c>
      <c r="J1144" s="56">
        <f t="shared" si="64"/>
        <v>3136.24</v>
      </c>
      <c r="K1144" s="57">
        <f t="shared" si="65"/>
        <v>2945.2799999999997</v>
      </c>
    </row>
    <row r="1145" spans="1:11" ht="15" x14ac:dyDescent="0.2">
      <c r="A1145" s="50" t="s">
        <v>833</v>
      </c>
      <c r="B1145" s="51" t="s">
        <v>316</v>
      </c>
      <c r="C1145" s="60" t="s">
        <v>852</v>
      </c>
      <c r="D1145" s="58" t="s">
        <v>572</v>
      </c>
      <c r="E1145" s="53">
        <v>24</v>
      </c>
      <c r="F1145" s="9">
        <v>15.92</v>
      </c>
      <c r="G1145" s="10">
        <v>16.329999999999998</v>
      </c>
      <c r="H1145" s="54">
        <f t="shared" si="63"/>
        <v>391.91999999999996</v>
      </c>
      <c r="I1145" s="55">
        <v>0</v>
      </c>
      <c r="J1145" s="56">
        <f t="shared" si="64"/>
        <v>391.91999999999996</v>
      </c>
      <c r="K1145" s="57">
        <f t="shared" si="65"/>
        <v>382.08</v>
      </c>
    </row>
    <row r="1146" spans="1:11" ht="15" x14ac:dyDescent="0.2">
      <c r="A1146" s="50" t="s">
        <v>833</v>
      </c>
      <c r="B1146" s="51" t="s">
        <v>319</v>
      </c>
      <c r="C1146" s="60"/>
      <c r="D1146" s="58" t="s">
        <v>576</v>
      </c>
      <c r="E1146" s="53">
        <v>12</v>
      </c>
      <c r="F1146" s="9">
        <v>11.58</v>
      </c>
      <c r="G1146" s="10">
        <v>12</v>
      </c>
      <c r="H1146" s="54">
        <f t="shared" si="63"/>
        <v>144</v>
      </c>
      <c r="I1146" s="55">
        <v>0</v>
      </c>
      <c r="J1146" s="56">
        <f t="shared" si="64"/>
        <v>144</v>
      </c>
      <c r="K1146" s="57">
        <f t="shared" si="65"/>
        <v>138.96</v>
      </c>
    </row>
    <row r="1147" spans="1:11" ht="15" x14ac:dyDescent="0.2">
      <c r="A1147" s="50" t="s">
        <v>833</v>
      </c>
      <c r="B1147" s="51" t="s">
        <v>320</v>
      </c>
      <c r="C1147" s="60"/>
      <c r="D1147" s="58" t="s">
        <v>585</v>
      </c>
      <c r="E1147" s="53">
        <v>12</v>
      </c>
      <c r="F1147" s="9">
        <v>11.58</v>
      </c>
      <c r="G1147" s="10">
        <v>12</v>
      </c>
      <c r="H1147" s="54">
        <f t="shared" si="63"/>
        <v>144</v>
      </c>
      <c r="I1147" s="55">
        <v>0</v>
      </c>
      <c r="J1147" s="56">
        <f t="shared" si="64"/>
        <v>144</v>
      </c>
      <c r="K1147" s="57">
        <f t="shared" si="65"/>
        <v>138.96</v>
      </c>
    </row>
    <row r="1148" spans="1:11" ht="15" x14ac:dyDescent="0.2">
      <c r="A1148" s="50" t="s">
        <v>833</v>
      </c>
      <c r="B1148" s="51" t="s">
        <v>336</v>
      </c>
      <c r="C1148" s="60"/>
      <c r="D1148" s="58" t="s">
        <v>627</v>
      </c>
      <c r="E1148" s="53">
        <v>12</v>
      </c>
      <c r="F1148" s="9">
        <v>11.58</v>
      </c>
      <c r="G1148" s="10">
        <v>12</v>
      </c>
      <c r="H1148" s="54">
        <f t="shared" si="63"/>
        <v>144</v>
      </c>
      <c r="I1148" s="55">
        <v>0</v>
      </c>
      <c r="J1148" s="56">
        <f t="shared" si="64"/>
        <v>144</v>
      </c>
      <c r="K1148" s="57">
        <f t="shared" si="65"/>
        <v>138.96</v>
      </c>
    </row>
    <row r="1149" spans="1:11" ht="15" x14ac:dyDescent="0.2">
      <c r="A1149" s="50" t="s">
        <v>834</v>
      </c>
      <c r="B1149" s="51" t="s">
        <v>316</v>
      </c>
      <c r="C1149" s="60" t="s">
        <v>853</v>
      </c>
      <c r="D1149" s="58" t="s">
        <v>572</v>
      </c>
      <c r="E1149" s="53">
        <v>60</v>
      </c>
      <c r="F1149" s="9">
        <v>15.92</v>
      </c>
      <c r="G1149" s="10">
        <v>16.329999999999998</v>
      </c>
      <c r="H1149" s="54">
        <f t="shared" si="63"/>
        <v>979.8</v>
      </c>
      <c r="I1149" s="55">
        <v>0</v>
      </c>
      <c r="J1149" s="56">
        <f t="shared" si="64"/>
        <v>979.8</v>
      </c>
      <c r="K1149" s="57">
        <f t="shared" si="65"/>
        <v>955.2</v>
      </c>
    </row>
    <row r="1150" spans="1:11" ht="15" x14ac:dyDescent="0.2">
      <c r="A1150" s="50" t="s">
        <v>834</v>
      </c>
      <c r="B1150" s="51" t="s">
        <v>317</v>
      </c>
      <c r="C1150" s="60" t="s">
        <v>854</v>
      </c>
      <c r="D1150" s="58" t="s">
        <v>580</v>
      </c>
      <c r="E1150" s="53">
        <v>12</v>
      </c>
      <c r="F1150" s="9">
        <v>59.17</v>
      </c>
      <c r="G1150" s="10">
        <v>61</v>
      </c>
      <c r="H1150" s="54">
        <f t="shared" si="63"/>
        <v>732</v>
      </c>
      <c r="I1150" s="55">
        <v>0</v>
      </c>
      <c r="J1150" s="56">
        <f t="shared" si="64"/>
        <v>732</v>
      </c>
      <c r="K1150" s="57">
        <f t="shared" si="65"/>
        <v>710.04</v>
      </c>
    </row>
    <row r="1151" spans="1:11" ht="15" x14ac:dyDescent="0.2">
      <c r="A1151" s="50" t="s">
        <v>834</v>
      </c>
      <c r="B1151" s="51" t="s">
        <v>316</v>
      </c>
      <c r="C1151" s="60"/>
      <c r="D1151" s="58" t="s">
        <v>572</v>
      </c>
      <c r="E1151" s="53">
        <v>60</v>
      </c>
      <c r="F1151" s="9">
        <v>15.92</v>
      </c>
      <c r="G1151" s="10">
        <v>16.329999999999998</v>
      </c>
      <c r="H1151" s="54">
        <f t="shared" si="63"/>
        <v>979.8</v>
      </c>
      <c r="I1151" s="55">
        <v>0</v>
      </c>
      <c r="J1151" s="56">
        <f t="shared" si="64"/>
        <v>979.8</v>
      </c>
      <c r="K1151" s="57">
        <f t="shared" si="65"/>
        <v>955.2</v>
      </c>
    </row>
    <row r="1152" spans="1:11" ht="15" x14ac:dyDescent="0.2">
      <c r="A1152" s="50" t="s">
        <v>834</v>
      </c>
      <c r="B1152" s="51" t="s">
        <v>322</v>
      </c>
      <c r="C1152" s="60"/>
      <c r="D1152" s="58" t="s">
        <v>573</v>
      </c>
      <c r="E1152" s="53">
        <v>36</v>
      </c>
      <c r="F1152" s="9">
        <v>15.92</v>
      </c>
      <c r="G1152" s="10">
        <v>16.329999999999998</v>
      </c>
      <c r="H1152" s="54">
        <f t="shared" si="63"/>
        <v>587.87999999999988</v>
      </c>
      <c r="I1152" s="55">
        <v>0</v>
      </c>
      <c r="J1152" s="56">
        <f t="shared" si="64"/>
        <v>587.87999999999988</v>
      </c>
      <c r="K1152" s="57">
        <f t="shared" si="65"/>
        <v>573.12</v>
      </c>
    </row>
    <row r="1153" spans="1:14" ht="15" x14ac:dyDescent="0.2">
      <c r="A1153" s="50" t="s">
        <v>834</v>
      </c>
      <c r="B1153" s="51" t="s">
        <v>323</v>
      </c>
      <c r="C1153" s="60"/>
      <c r="D1153" s="58" t="s">
        <v>574</v>
      </c>
      <c r="E1153" s="53">
        <v>24</v>
      </c>
      <c r="F1153" s="9">
        <v>15.92</v>
      </c>
      <c r="G1153" s="10">
        <v>16.329999999999998</v>
      </c>
      <c r="H1153" s="54">
        <f t="shared" si="63"/>
        <v>391.91999999999996</v>
      </c>
      <c r="I1153" s="55">
        <v>0</v>
      </c>
      <c r="J1153" s="56">
        <f t="shared" si="64"/>
        <v>391.91999999999996</v>
      </c>
      <c r="K1153" s="57">
        <f t="shared" si="65"/>
        <v>382.08</v>
      </c>
    </row>
    <row r="1154" spans="1:14" ht="15" x14ac:dyDescent="0.2">
      <c r="A1154" s="50" t="s">
        <v>834</v>
      </c>
      <c r="B1154" s="51" t="s">
        <v>837</v>
      </c>
      <c r="C1154" s="60" t="s">
        <v>855</v>
      </c>
      <c r="D1154" s="58" t="s">
        <v>858</v>
      </c>
      <c r="E1154" s="53">
        <v>36</v>
      </c>
      <c r="F1154" s="9">
        <v>22.33</v>
      </c>
      <c r="G1154" s="10">
        <v>23.58</v>
      </c>
      <c r="H1154" s="54">
        <f t="shared" si="63"/>
        <v>848.87999999999988</v>
      </c>
      <c r="I1154" s="55">
        <v>0</v>
      </c>
      <c r="J1154" s="56">
        <f t="shared" si="64"/>
        <v>848.87999999999988</v>
      </c>
      <c r="K1154" s="57">
        <f t="shared" si="65"/>
        <v>803.87999999999988</v>
      </c>
    </row>
    <row r="1155" spans="1:14" ht="15" x14ac:dyDescent="0.2">
      <c r="A1155" s="50" t="s">
        <v>834</v>
      </c>
      <c r="B1155" s="51" t="s">
        <v>836</v>
      </c>
      <c r="C1155" s="60"/>
      <c r="D1155" s="58" t="s">
        <v>857</v>
      </c>
      <c r="E1155" s="53">
        <v>12</v>
      </c>
      <c r="F1155" s="9">
        <v>22.33</v>
      </c>
      <c r="G1155" s="10">
        <v>23.58</v>
      </c>
      <c r="H1155" s="54">
        <f t="shared" si="63"/>
        <v>282.95999999999998</v>
      </c>
      <c r="I1155" s="55">
        <v>0</v>
      </c>
      <c r="J1155" s="56">
        <f t="shared" si="64"/>
        <v>282.95999999999998</v>
      </c>
      <c r="K1155" s="57">
        <f t="shared" si="65"/>
        <v>267.95999999999998</v>
      </c>
    </row>
    <row r="1156" spans="1:14" ht="15" x14ac:dyDescent="0.2">
      <c r="A1156" s="50" t="s">
        <v>834</v>
      </c>
      <c r="B1156" s="51" t="s">
        <v>835</v>
      </c>
      <c r="C1156" s="60"/>
      <c r="D1156" s="58" t="s">
        <v>856</v>
      </c>
      <c r="E1156" s="53">
        <v>72</v>
      </c>
      <c r="F1156" s="9">
        <v>7.67</v>
      </c>
      <c r="G1156" s="10">
        <v>8.17</v>
      </c>
      <c r="H1156" s="54">
        <f t="shared" si="63"/>
        <v>588.24</v>
      </c>
      <c r="I1156" s="55">
        <v>0</v>
      </c>
      <c r="J1156" s="56">
        <f t="shared" si="64"/>
        <v>588.24</v>
      </c>
      <c r="K1156" s="57">
        <f t="shared" si="65"/>
        <v>552.24</v>
      </c>
    </row>
    <row r="1157" spans="1:14" ht="15.75" thickBot="1" x14ac:dyDescent="0.25">
      <c r="A1157" s="50" t="s">
        <v>834</v>
      </c>
      <c r="B1157" s="51" t="s">
        <v>326</v>
      </c>
      <c r="C1157" s="60"/>
      <c r="D1157" s="58" t="s">
        <v>626</v>
      </c>
      <c r="E1157" s="53">
        <v>24</v>
      </c>
      <c r="F1157" s="9">
        <v>7.04</v>
      </c>
      <c r="G1157" s="10">
        <v>8.17</v>
      </c>
      <c r="H1157" s="54">
        <f t="shared" si="63"/>
        <v>196.07999999999998</v>
      </c>
      <c r="I1157" s="55">
        <v>0</v>
      </c>
      <c r="J1157" s="56">
        <f t="shared" si="64"/>
        <v>196.07999999999998</v>
      </c>
      <c r="K1157" s="57">
        <f t="shared" si="65"/>
        <v>168.96</v>
      </c>
      <c r="L1157" s="2">
        <v>74759</v>
      </c>
      <c r="M1157" s="2">
        <v>74759.240000000005</v>
      </c>
      <c r="N1157" s="22">
        <f>M1157-L1157</f>
        <v>0.24000000000523869</v>
      </c>
    </row>
    <row r="1158" spans="1:14" ht="13.5" thickBot="1" x14ac:dyDescent="0.25">
      <c r="A1158" s="61"/>
      <c r="B1158" s="62"/>
      <c r="C1158" s="63"/>
      <c r="D1158" s="64"/>
      <c r="E1158" s="65">
        <f t="shared" ref="E1158:N1158" si="66">SUM(E6:E1157)</f>
        <v>80198</v>
      </c>
      <c r="F1158" s="65">
        <f t="shared" si="66"/>
        <v>25945.39000000005</v>
      </c>
      <c r="G1158" s="65">
        <f t="shared" si="66"/>
        <v>26927.210000000076</v>
      </c>
      <c r="H1158" s="66">
        <f t="shared" si="66"/>
        <v>1107526.2599999998</v>
      </c>
      <c r="I1158" s="65">
        <f t="shared" si="66"/>
        <v>121.53999999999999</v>
      </c>
      <c r="J1158" s="66">
        <f t="shared" si="66"/>
        <v>1107404.7200000007</v>
      </c>
      <c r="K1158" s="66">
        <f t="shared" si="66"/>
        <v>1053815.8799999985</v>
      </c>
      <c r="L1158" s="66">
        <f t="shared" si="66"/>
        <v>1107404.72</v>
      </c>
      <c r="M1158" s="66">
        <f t="shared" si="66"/>
        <v>1109110.6500000001</v>
      </c>
      <c r="N1158" s="66">
        <f t="shared" si="66"/>
        <v>3195.9299999999976</v>
      </c>
    </row>
    <row r="1159" spans="1:14" x14ac:dyDescent="0.2">
      <c r="I1159" s="2" t="s">
        <v>27</v>
      </c>
      <c r="J1159" s="2">
        <v>1109110.6599999999</v>
      </c>
    </row>
    <row r="1161" spans="1:14" x14ac:dyDescent="0.2">
      <c r="I1161" s="2" t="s">
        <v>541</v>
      </c>
      <c r="J1161" s="2">
        <f>N1158</f>
        <v>3195.9299999999976</v>
      </c>
    </row>
    <row r="1162" spans="1:14" x14ac:dyDescent="0.2">
      <c r="F1162" s="1"/>
      <c r="I1162" s="2" t="s">
        <v>26</v>
      </c>
      <c r="J1162" s="2">
        <f>1490</f>
        <v>1490</v>
      </c>
      <c r="K1162" s="2" t="s">
        <v>553</v>
      </c>
    </row>
    <row r="1163" spans="1:14" x14ac:dyDescent="0.2">
      <c r="F1163" s="1"/>
    </row>
    <row r="1164" spans="1:14" ht="15" x14ac:dyDescent="0.25">
      <c r="D1164" s="67" t="s">
        <v>28</v>
      </c>
      <c r="I1164" s="84"/>
    </row>
    <row r="1165" spans="1:14" ht="15" x14ac:dyDescent="0.25">
      <c r="D1165" s="18" t="s">
        <v>859</v>
      </c>
      <c r="J1165" s="69"/>
    </row>
    <row r="1166" spans="1:14" ht="15" x14ac:dyDescent="0.25">
      <c r="D1166" s="18"/>
      <c r="F1166" s="69"/>
      <c r="J1166" s="69"/>
    </row>
    <row r="1167" spans="1:14" ht="15" x14ac:dyDescent="0.25">
      <c r="D1167" s="18" t="s">
        <v>29</v>
      </c>
      <c r="F1167" s="42">
        <v>1490</v>
      </c>
      <c r="J1167" s="69">
        <f>J1159-J1161+J1162</f>
        <v>1107404.73</v>
      </c>
    </row>
    <row r="1168" spans="1:14" ht="15" x14ac:dyDescent="0.25">
      <c r="D1168" s="18" t="s">
        <v>20</v>
      </c>
      <c r="F1168" s="69">
        <v>1705.9299999999976</v>
      </c>
      <c r="G1168" s="70"/>
      <c r="J1168" s="69">
        <f>J1158-J1167</f>
        <v>-9.9999993108212948E-3</v>
      </c>
    </row>
    <row r="1169" spans="4:10" ht="15" x14ac:dyDescent="0.25">
      <c r="D1169" s="18" t="s">
        <v>30</v>
      </c>
      <c r="F1169" s="69"/>
      <c r="G1169" s="1">
        <v>3195.9299999999976</v>
      </c>
      <c r="H1169" s="2"/>
      <c r="I1169" s="69"/>
      <c r="J1169" s="69"/>
    </row>
    <row r="1170" spans="4:10" ht="15" x14ac:dyDescent="0.25">
      <c r="G1170" s="17"/>
      <c r="I1170" s="68"/>
      <c r="J1170" s="69"/>
    </row>
    <row r="1171" spans="4:10" ht="15" x14ac:dyDescent="0.25">
      <c r="F1171" s="71">
        <f>SUM(F1166:F1170)</f>
        <v>3195.9299999999976</v>
      </c>
      <c r="G1171" s="71">
        <f>SUM(G1166:G1170)</f>
        <v>3195.9299999999976</v>
      </c>
      <c r="I1171" s="68"/>
      <c r="J1171" s="69"/>
    </row>
    <row r="1172" spans="4:10" ht="15" x14ac:dyDescent="0.25">
      <c r="I1172" s="68"/>
      <c r="J1172" s="69"/>
    </row>
    <row r="1173" spans="4:10" ht="15" x14ac:dyDescent="0.25">
      <c r="I1173" s="68"/>
      <c r="J1173" s="69"/>
    </row>
    <row r="1174" spans="4:10" ht="15" x14ac:dyDescent="0.25">
      <c r="E1174" s="19"/>
      <c r="F1174" s="19"/>
      <c r="I1174" s="69"/>
      <c r="J1174" s="69"/>
    </row>
    <row r="1175" spans="4:10" ht="15" x14ac:dyDescent="0.25">
      <c r="I1175" s="68"/>
      <c r="J1175" s="69"/>
    </row>
    <row r="1176" spans="4:10" ht="15" x14ac:dyDescent="0.25">
      <c r="I1176" s="68"/>
      <c r="J1176" s="69"/>
    </row>
    <row r="1177" spans="4:10" ht="15" x14ac:dyDescent="0.25">
      <c r="I1177" s="68"/>
      <c r="J1177" s="69"/>
    </row>
    <row r="1178" spans="4:10" ht="15" x14ac:dyDescent="0.25">
      <c r="I1178" s="68"/>
      <c r="J1178" s="69"/>
    </row>
    <row r="1179" spans="4:10" ht="15" x14ac:dyDescent="0.25">
      <c r="I1179" s="68"/>
      <c r="J1179" s="69"/>
    </row>
    <row r="1180" spans="4:10" ht="15" x14ac:dyDescent="0.25">
      <c r="I1180" s="68"/>
      <c r="J1180" s="69"/>
    </row>
    <row r="1181" spans="4:10" ht="15" x14ac:dyDescent="0.25">
      <c r="I1181" s="69"/>
      <c r="J1181" s="72"/>
    </row>
    <row r="1183" spans="4:10" x14ac:dyDescent="0.2">
      <c r="J1183" s="73"/>
    </row>
    <row r="1184" spans="4:10" ht="15" customHeight="1" x14ac:dyDescent="0.2"/>
    <row r="1185" spans="5:7" ht="15" customHeight="1" x14ac:dyDescent="0.2"/>
    <row r="1186" spans="5:7" ht="15" customHeight="1" x14ac:dyDescent="0.2"/>
    <row r="1187" spans="5:7" ht="15" customHeight="1" x14ac:dyDescent="0.2"/>
    <row r="1188" spans="5:7" ht="15" customHeight="1" x14ac:dyDescent="0.2"/>
    <row r="1189" spans="5:7" ht="15" customHeight="1" x14ac:dyDescent="0.2"/>
    <row r="1190" spans="5:7" ht="15" customHeight="1" x14ac:dyDescent="0.2"/>
    <row r="1191" spans="5:7" ht="15" customHeight="1" x14ac:dyDescent="0.2"/>
    <row r="1192" spans="5:7" ht="15" customHeight="1" x14ac:dyDescent="0.2"/>
    <row r="1193" spans="5:7" ht="15" customHeight="1" x14ac:dyDescent="0.2"/>
    <row r="1194" spans="5:7" ht="15" customHeight="1" x14ac:dyDescent="0.2"/>
    <row r="1195" spans="5:7" x14ac:dyDescent="0.2">
      <c r="F1195" s="1"/>
    </row>
    <row r="1196" spans="5:7" x14ac:dyDescent="0.2">
      <c r="E1196" s="17"/>
      <c r="F1196" s="1"/>
    </row>
    <row r="1197" spans="5:7" x14ac:dyDescent="0.2">
      <c r="E1197" s="19"/>
      <c r="F1197" s="2"/>
      <c r="G1197" s="2"/>
    </row>
    <row r="1198" spans="5:7" x14ac:dyDescent="0.2">
      <c r="E1198" s="17"/>
      <c r="F1198" s="1"/>
    </row>
    <row r="1199" spans="5:7" x14ac:dyDescent="0.2">
      <c r="F1199" s="1"/>
      <c r="G1199" s="1"/>
    </row>
    <row r="1200" spans="5:7" ht="15" customHeight="1" x14ac:dyDescent="0.2"/>
    <row r="1201" spans="5:8" x14ac:dyDescent="0.2">
      <c r="F1201" s="1"/>
    </row>
    <row r="1202" spans="5:8" ht="15" customHeight="1" x14ac:dyDescent="0.2"/>
    <row r="1203" spans="5:8" x14ac:dyDescent="0.2">
      <c r="E1203" s="19"/>
      <c r="F1203" s="2"/>
      <c r="G1203" s="19"/>
      <c r="H1203" s="19"/>
    </row>
    <row r="1204" spans="5:8" x14ac:dyDescent="0.2">
      <c r="E1204" s="19"/>
      <c r="F1204" s="19"/>
      <c r="G1204" s="59"/>
      <c r="H1204" s="2"/>
    </row>
    <row r="1205" spans="5:8" x14ac:dyDescent="0.2">
      <c r="E1205" s="19"/>
      <c r="F1205" s="19"/>
      <c r="G1205" s="19"/>
      <c r="H1205" s="2"/>
    </row>
    <row r="1206" spans="5:8" x14ac:dyDescent="0.2">
      <c r="E1206" s="19"/>
      <c r="F1206" s="19"/>
      <c r="G1206" s="19"/>
      <c r="H1206" s="2"/>
    </row>
    <row r="1207" spans="5:8" x14ac:dyDescent="0.2">
      <c r="E1207" s="19"/>
      <c r="F1207" s="59"/>
      <c r="G1207" s="19"/>
      <c r="H1207" s="19"/>
    </row>
    <row r="1208" spans="5:8" x14ac:dyDescent="0.2">
      <c r="E1208" s="19"/>
      <c r="F1208" s="19"/>
      <c r="G1208" s="19"/>
      <c r="H1208" s="19"/>
    </row>
    <row r="1209" spans="5:8" ht="15" customHeight="1" x14ac:dyDescent="0.2"/>
    <row r="1210" spans="5:8" ht="15" customHeight="1" x14ac:dyDescent="0.2"/>
    <row r="1211" spans="5:8" ht="15" customHeight="1" x14ac:dyDescent="0.2"/>
    <row r="1212" spans="5:8" ht="15" customHeight="1" x14ac:dyDescent="0.2"/>
    <row r="1213" spans="5:8" ht="15" customHeight="1" x14ac:dyDescent="0.2"/>
    <row r="1214" spans="5:8" ht="15" customHeight="1" x14ac:dyDescent="0.2"/>
    <row r="1215" spans="5:8" ht="15" customHeight="1" x14ac:dyDescent="0.2"/>
    <row r="1216" spans="5:8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727" ht="15" customHeight="1" x14ac:dyDescent="0.2"/>
    <row r="1728" ht="15" customHeight="1" x14ac:dyDescent="0.2"/>
    <row r="1729" ht="15" customHeight="1" x14ac:dyDescent="0.2"/>
    <row r="1730" ht="15" customHeight="1" x14ac:dyDescent="0.2"/>
    <row r="1731" ht="15" customHeight="1" x14ac:dyDescent="0.2"/>
    <row r="1732" ht="15" customHeight="1" x14ac:dyDescent="0.2"/>
    <row r="1733" ht="15" customHeight="1" x14ac:dyDescent="0.2"/>
    <row r="1734" ht="15" customHeight="1" x14ac:dyDescent="0.2"/>
    <row r="1735" ht="15" customHeight="1" x14ac:dyDescent="0.2"/>
    <row r="1736" ht="15" customHeight="1" x14ac:dyDescent="0.2"/>
    <row r="1737" ht="15" customHeight="1" x14ac:dyDescent="0.2"/>
    <row r="1738" ht="15" customHeight="1" x14ac:dyDescent="0.2"/>
    <row r="1739" ht="15" customHeight="1" x14ac:dyDescent="0.2"/>
    <row r="1740" ht="15" customHeight="1" x14ac:dyDescent="0.2"/>
    <row r="1741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4" ht="15" customHeight="1" x14ac:dyDescent="0.2"/>
    <row r="1915" ht="15" customHeight="1" x14ac:dyDescent="0.2"/>
    <row r="1916" ht="15" customHeight="1" x14ac:dyDescent="0.2"/>
    <row r="1917" ht="15" customHeight="1" x14ac:dyDescent="0.2"/>
    <row r="1918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3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2" ht="15" customHeight="1" x14ac:dyDescent="0.2"/>
    <row r="1933" ht="15" customHeight="1" x14ac:dyDescent="0.2"/>
    <row r="1934" ht="15" customHeight="1" x14ac:dyDescent="0.2"/>
    <row r="1935" ht="15" customHeight="1" x14ac:dyDescent="0.2"/>
    <row r="1936" ht="15" customHeight="1" x14ac:dyDescent="0.2"/>
    <row r="1937" ht="15" customHeight="1" x14ac:dyDescent="0.2"/>
    <row r="1938" ht="15" customHeight="1" x14ac:dyDescent="0.2"/>
    <row r="1939" ht="15" customHeight="1" x14ac:dyDescent="0.2"/>
    <row r="1940" ht="15" customHeight="1" x14ac:dyDescent="0.2"/>
    <row r="1941" ht="15" customHeight="1" x14ac:dyDescent="0.2"/>
    <row r="1942" ht="15" customHeight="1" x14ac:dyDescent="0.2"/>
    <row r="1943" ht="15" customHeight="1" x14ac:dyDescent="0.2"/>
    <row r="1944" ht="15" customHeight="1" x14ac:dyDescent="0.2"/>
    <row r="1945" ht="15" customHeight="1" x14ac:dyDescent="0.2"/>
    <row r="1946" ht="15" customHeight="1" x14ac:dyDescent="0.2"/>
    <row r="1947" ht="15" customHeight="1" x14ac:dyDescent="0.2"/>
    <row r="1948" ht="15" customHeight="1" x14ac:dyDescent="0.2"/>
    <row r="1949" ht="15" customHeight="1" x14ac:dyDescent="0.2"/>
    <row r="1950" ht="15" customHeight="1" x14ac:dyDescent="0.2"/>
    <row r="1951" ht="15" customHeight="1" x14ac:dyDescent="0.2"/>
    <row r="1952" ht="15" customHeight="1" x14ac:dyDescent="0.2"/>
    <row r="1953" ht="15" customHeight="1" x14ac:dyDescent="0.2"/>
    <row r="1954" ht="15" customHeight="1" x14ac:dyDescent="0.2"/>
    <row r="1955" ht="15" customHeight="1" x14ac:dyDescent="0.2"/>
    <row r="1956" ht="15" customHeight="1" x14ac:dyDescent="0.2"/>
    <row r="1957" ht="15" customHeight="1" x14ac:dyDescent="0.2"/>
    <row r="1958" ht="15" customHeight="1" x14ac:dyDescent="0.2"/>
    <row r="1959" ht="15" customHeight="1" x14ac:dyDescent="0.2"/>
    <row r="1960" ht="15" customHeight="1" x14ac:dyDescent="0.2"/>
    <row r="1961" ht="15" customHeight="1" x14ac:dyDescent="0.2"/>
    <row r="1962" ht="15" customHeight="1" x14ac:dyDescent="0.2"/>
    <row r="1963" ht="15" customHeight="1" x14ac:dyDescent="0.2"/>
    <row r="1964" ht="15" customHeight="1" x14ac:dyDescent="0.2"/>
    <row r="1965" ht="15" customHeight="1" x14ac:dyDescent="0.2"/>
    <row r="1966" ht="15" customHeight="1" x14ac:dyDescent="0.2"/>
    <row r="1967" ht="15" customHeight="1" x14ac:dyDescent="0.2"/>
    <row r="1968" ht="15" customHeight="1" x14ac:dyDescent="0.2"/>
    <row r="1969" ht="15" customHeight="1" x14ac:dyDescent="0.2"/>
    <row r="1970" ht="15" customHeight="1" x14ac:dyDescent="0.2"/>
    <row r="1971" ht="15" customHeight="1" x14ac:dyDescent="0.2"/>
    <row r="1972" ht="15" customHeight="1" x14ac:dyDescent="0.2"/>
    <row r="1973" ht="15" customHeight="1" x14ac:dyDescent="0.2"/>
    <row r="1974" ht="15" customHeight="1" x14ac:dyDescent="0.2"/>
    <row r="1975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3" ht="15" customHeight="1" x14ac:dyDescent="0.2"/>
    <row r="2004" ht="15" customHeight="1" x14ac:dyDescent="0.2"/>
    <row r="2005" ht="15" customHeight="1" x14ac:dyDescent="0.2"/>
    <row r="2006" ht="15" customHeight="1" x14ac:dyDescent="0.2"/>
    <row r="2007" ht="15" customHeight="1" x14ac:dyDescent="0.2"/>
    <row r="2008" ht="15" customHeight="1" x14ac:dyDescent="0.2"/>
    <row r="2009" ht="15" customHeight="1" x14ac:dyDescent="0.2"/>
    <row r="2010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054" ht="15" customHeight="1" x14ac:dyDescent="0.2"/>
    <row r="2055" ht="15" customHeight="1" x14ac:dyDescent="0.2"/>
    <row r="2056" ht="15" customHeight="1" x14ac:dyDescent="0.2"/>
    <row r="2057" ht="15" customHeight="1" x14ac:dyDescent="0.2"/>
    <row r="2058" ht="15" customHeight="1" x14ac:dyDescent="0.2"/>
    <row r="2059" ht="15" customHeight="1" x14ac:dyDescent="0.2"/>
    <row r="2060" ht="15" customHeight="1" x14ac:dyDescent="0.2"/>
    <row r="2061" ht="15" customHeight="1" x14ac:dyDescent="0.2"/>
    <row r="2062" ht="15" customHeight="1" x14ac:dyDescent="0.2"/>
    <row r="2063" ht="15" customHeight="1" x14ac:dyDescent="0.2"/>
    <row r="2064" ht="15" customHeight="1" x14ac:dyDescent="0.2"/>
    <row r="2065" ht="15" customHeight="1" x14ac:dyDescent="0.2"/>
    <row r="2066" ht="15" customHeight="1" x14ac:dyDescent="0.2"/>
    <row r="2067" ht="15" customHeight="1" x14ac:dyDescent="0.2"/>
    <row r="2068" ht="15" customHeight="1" x14ac:dyDescent="0.2"/>
    <row r="2069" ht="15" customHeight="1" x14ac:dyDescent="0.2"/>
    <row r="2070" ht="15" customHeight="1" x14ac:dyDescent="0.2"/>
    <row r="2071" ht="15" customHeight="1" x14ac:dyDescent="0.2"/>
    <row r="2072" ht="15" customHeight="1" x14ac:dyDescent="0.2"/>
    <row r="2073" ht="15" customHeight="1" x14ac:dyDescent="0.2"/>
    <row r="2074" ht="15" customHeight="1" x14ac:dyDescent="0.2"/>
    <row r="2075" ht="15" customHeight="1" x14ac:dyDescent="0.2"/>
    <row r="2076" ht="15" customHeight="1" x14ac:dyDescent="0.2"/>
    <row r="2077" ht="15" customHeight="1" x14ac:dyDescent="0.2"/>
    <row r="2078" ht="15" customHeight="1" x14ac:dyDescent="0.2"/>
    <row r="2079" ht="15" customHeight="1" x14ac:dyDescent="0.2"/>
    <row r="2080" ht="15" customHeight="1" x14ac:dyDescent="0.2"/>
    <row r="2081" ht="15" customHeight="1" x14ac:dyDescent="0.2"/>
    <row r="2082" ht="15" customHeight="1" x14ac:dyDescent="0.2"/>
    <row r="2083" ht="15" customHeight="1" x14ac:dyDescent="0.2"/>
    <row r="2084" ht="15" customHeight="1" x14ac:dyDescent="0.2"/>
    <row r="2085" ht="15" customHeight="1" x14ac:dyDescent="0.2"/>
    <row r="2086" ht="15" customHeight="1" x14ac:dyDescent="0.2"/>
    <row r="2087" ht="15" customHeight="1" x14ac:dyDescent="0.2"/>
    <row r="2088" ht="15" customHeight="1" x14ac:dyDescent="0.2"/>
    <row r="2089" ht="15" customHeight="1" x14ac:dyDescent="0.2"/>
    <row r="2090" ht="15" customHeight="1" x14ac:dyDescent="0.2"/>
    <row r="2091" ht="15" customHeight="1" x14ac:dyDescent="0.2"/>
    <row r="2092" ht="15" customHeight="1" x14ac:dyDescent="0.2"/>
    <row r="2093" ht="15" customHeight="1" x14ac:dyDescent="0.2"/>
    <row r="2094" ht="15" customHeight="1" x14ac:dyDescent="0.2"/>
    <row r="2095" ht="15" customHeight="1" x14ac:dyDescent="0.2"/>
    <row r="2096" ht="15" customHeight="1" x14ac:dyDescent="0.2"/>
    <row r="2097" ht="15" customHeight="1" x14ac:dyDescent="0.2"/>
    <row r="2098" ht="15" customHeight="1" x14ac:dyDescent="0.2"/>
    <row r="2099" ht="15" customHeight="1" x14ac:dyDescent="0.2"/>
    <row r="2100" ht="15" customHeight="1" x14ac:dyDescent="0.2"/>
    <row r="2101" ht="15" customHeight="1" x14ac:dyDescent="0.2"/>
    <row r="2102" ht="15" customHeight="1" x14ac:dyDescent="0.2"/>
    <row r="2103" ht="15" customHeight="1" x14ac:dyDescent="0.2"/>
    <row r="2104" ht="15" customHeight="1" x14ac:dyDescent="0.2"/>
    <row r="2105" ht="15" customHeight="1" x14ac:dyDescent="0.2"/>
    <row r="2106" ht="15" customHeight="1" x14ac:dyDescent="0.2"/>
    <row r="2107" ht="15" customHeight="1" x14ac:dyDescent="0.2"/>
    <row r="2108" ht="15" customHeight="1" x14ac:dyDescent="0.2"/>
    <row r="2109" ht="15" customHeight="1" x14ac:dyDescent="0.2"/>
    <row r="2110" ht="15" customHeight="1" x14ac:dyDescent="0.2"/>
    <row r="2111" ht="15" customHeight="1" x14ac:dyDescent="0.2"/>
    <row r="2112" ht="15" customHeight="1" x14ac:dyDescent="0.2"/>
    <row r="2113" ht="15" customHeight="1" x14ac:dyDescent="0.2"/>
    <row r="2114" ht="15" customHeight="1" x14ac:dyDescent="0.2"/>
    <row r="2115" ht="15" customHeight="1" x14ac:dyDescent="0.2"/>
    <row r="2116" ht="15" customHeight="1" x14ac:dyDescent="0.2"/>
    <row r="2117" ht="15" customHeight="1" x14ac:dyDescent="0.2"/>
    <row r="2118" ht="15" customHeight="1" x14ac:dyDescent="0.2"/>
    <row r="2119" ht="15" customHeight="1" x14ac:dyDescent="0.2"/>
    <row r="2120" ht="15" customHeight="1" x14ac:dyDescent="0.2"/>
    <row r="2121" ht="15" customHeight="1" x14ac:dyDescent="0.2"/>
    <row r="2122" ht="15" customHeight="1" x14ac:dyDescent="0.2"/>
    <row r="2123" ht="15" customHeight="1" x14ac:dyDescent="0.2"/>
    <row r="2124" ht="15" customHeight="1" x14ac:dyDescent="0.2"/>
    <row r="2125" ht="15" customHeight="1" x14ac:dyDescent="0.2"/>
    <row r="2126" ht="15" customHeight="1" x14ac:dyDescent="0.2"/>
    <row r="2127" ht="15" customHeight="1" x14ac:dyDescent="0.2"/>
    <row r="2128" ht="15" customHeight="1" x14ac:dyDescent="0.2"/>
    <row r="2129" ht="15" customHeight="1" x14ac:dyDescent="0.2"/>
    <row r="2130" ht="15" customHeight="1" x14ac:dyDescent="0.2"/>
    <row r="2131" ht="15" customHeight="1" x14ac:dyDescent="0.2"/>
    <row r="2132" ht="15" customHeight="1" x14ac:dyDescent="0.2"/>
    <row r="2133" ht="15" customHeight="1" x14ac:dyDescent="0.2"/>
    <row r="2134" ht="15" customHeight="1" x14ac:dyDescent="0.2"/>
    <row r="2135" ht="15" customHeight="1" x14ac:dyDescent="0.2"/>
    <row r="2136" ht="15" customHeight="1" x14ac:dyDescent="0.2"/>
    <row r="2137" ht="15" customHeight="1" x14ac:dyDescent="0.2"/>
    <row r="2138" ht="15" customHeight="1" x14ac:dyDescent="0.2"/>
    <row r="2139" ht="15" customHeight="1" x14ac:dyDescent="0.2"/>
    <row r="2140" ht="15" customHeight="1" x14ac:dyDescent="0.2"/>
    <row r="2141" ht="15" customHeight="1" x14ac:dyDescent="0.2"/>
    <row r="2142" ht="15" customHeight="1" x14ac:dyDescent="0.2"/>
    <row r="2143" ht="15" customHeight="1" x14ac:dyDescent="0.2"/>
    <row r="2144" ht="15" customHeight="1" x14ac:dyDescent="0.2"/>
    <row r="2145" ht="15" customHeight="1" x14ac:dyDescent="0.2"/>
    <row r="2146" ht="15" customHeight="1" x14ac:dyDescent="0.2"/>
    <row r="2147" ht="15" customHeight="1" x14ac:dyDescent="0.2"/>
    <row r="2148" ht="15" customHeight="1" x14ac:dyDescent="0.2"/>
    <row r="2149" ht="15" customHeight="1" x14ac:dyDescent="0.2"/>
    <row r="2150" ht="15" customHeight="1" x14ac:dyDescent="0.2"/>
    <row r="2151" ht="15" customHeight="1" x14ac:dyDescent="0.2"/>
    <row r="2152" ht="15" customHeight="1" x14ac:dyDescent="0.2"/>
    <row r="2153" ht="15" customHeight="1" x14ac:dyDescent="0.2"/>
    <row r="2154" ht="15" customHeight="1" x14ac:dyDescent="0.2"/>
    <row r="2155" ht="15" customHeight="1" x14ac:dyDescent="0.2"/>
    <row r="2156" ht="15" customHeight="1" x14ac:dyDescent="0.2"/>
    <row r="2157" ht="15" customHeight="1" x14ac:dyDescent="0.2"/>
    <row r="2158" ht="15" customHeight="1" x14ac:dyDescent="0.2"/>
    <row r="2159" ht="15" customHeight="1" x14ac:dyDescent="0.2"/>
    <row r="2160" ht="15" customHeight="1" x14ac:dyDescent="0.2"/>
    <row r="2161" ht="15" customHeight="1" x14ac:dyDescent="0.2"/>
    <row r="2162" ht="15" customHeight="1" x14ac:dyDescent="0.2"/>
    <row r="2163" ht="15" customHeight="1" x14ac:dyDescent="0.2"/>
    <row r="2164" ht="15" customHeight="1" x14ac:dyDescent="0.2"/>
    <row r="2165" ht="15" customHeight="1" x14ac:dyDescent="0.2"/>
    <row r="2166" ht="15" customHeight="1" x14ac:dyDescent="0.2"/>
    <row r="2167" ht="15" customHeight="1" x14ac:dyDescent="0.2"/>
    <row r="2168" ht="15" customHeight="1" x14ac:dyDescent="0.2"/>
    <row r="2169" ht="15" customHeight="1" x14ac:dyDescent="0.2"/>
    <row r="2170" ht="15" customHeight="1" x14ac:dyDescent="0.2"/>
    <row r="2171" ht="15" customHeight="1" x14ac:dyDescent="0.2"/>
    <row r="2172" ht="15" customHeight="1" x14ac:dyDescent="0.2"/>
    <row r="2173" ht="15" customHeight="1" x14ac:dyDescent="0.2"/>
    <row r="2174" ht="15" customHeight="1" x14ac:dyDescent="0.2"/>
    <row r="2175" ht="15" customHeight="1" x14ac:dyDescent="0.2"/>
    <row r="2176" ht="15" customHeight="1" x14ac:dyDescent="0.2"/>
    <row r="2177" ht="15" customHeight="1" x14ac:dyDescent="0.2"/>
    <row r="2178" ht="15" customHeight="1" x14ac:dyDescent="0.2"/>
    <row r="2179" ht="15" customHeight="1" x14ac:dyDescent="0.2"/>
    <row r="2180" ht="15" customHeight="1" x14ac:dyDescent="0.2"/>
    <row r="2181" ht="15" customHeight="1" x14ac:dyDescent="0.2"/>
    <row r="2182" ht="15" customHeight="1" x14ac:dyDescent="0.2"/>
    <row r="2183" ht="15" customHeight="1" x14ac:dyDescent="0.2"/>
    <row r="2184" ht="15" customHeight="1" x14ac:dyDescent="0.2"/>
    <row r="2185" ht="15" customHeight="1" x14ac:dyDescent="0.2"/>
    <row r="2186" ht="15" customHeight="1" x14ac:dyDescent="0.2"/>
    <row r="2187" ht="15" customHeight="1" x14ac:dyDescent="0.2"/>
    <row r="2188" ht="15" customHeight="1" x14ac:dyDescent="0.2"/>
    <row r="2189" ht="15" customHeight="1" x14ac:dyDescent="0.2"/>
    <row r="2190" ht="15" customHeight="1" x14ac:dyDescent="0.2"/>
    <row r="2191" ht="15" customHeight="1" x14ac:dyDescent="0.2"/>
    <row r="2192" ht="15" customHeight="1" x14ac:dyDescent="0.2"/>
    <row r="2193" ht="15" customHeight="1" x14ac:dyDescent="0.2"/>
    <row r="2194" ht="15" customHeight="1" x14ac:dyDescent="0.2"/>
    <row r="2195" ht="15" customHeight="1" x14ac:dyDescent="0.2"/>
    <row r="2196" ht="15" customHeight="1" x14ac:dyDescent="0.2"/>
    <row r="2197" ht="15" customHeight="1" x14ac:dyDescent="0.2"/>
    <row r="2198" ht="15" customHeight="1" x14ac:dyDescent="0.2"/>
    <row r="2199" ht="15" customHeight="1" x14ac:dyDescent="0.2"/>
    <row r="2200" ht="15" customHeight="1" x14ac:dyDescent="0.2"/>
    <row r="2201" ht="15" customHeight="1" x14ac:dyDescent="0.2"/>
    <row r="2202" ht="15" customHeight="1" x14ac:dyDescent="0.2"/>
    <row r="2203" ht="15" customHeight="1" x14ac:dyDescent="0.2"/>
    <row r="2204" ht="15" customHeight="1" x14ac:dyDescent="0.2"/>
    <row r="2205" ht="15" customHeight="1" x14ac:dyDescent="0.2"/>
    <row r="2206" ht="15" customHeight="1" x14ac:dyDescent="0.2"/>
    <row r="2207" ht="15" customHeight="1" x14ac:dyDescent="0.2"/>
    <row r="2208" ht="15" customHeight="1" x14ac:dyDescent="0.2"/>
    <row r="2209" ht="15" customHeight="1" x14ac:dyDescent="0.2"/>
    <row r="2210" ht="15" customHeight="1" x14ac:dyDescent="0.2"/>
    <row r="2211" ht="15" customHeight="1" x14ac:dyDescent="0.2"/>
    <row r="2212" ht="15" customHeight="1" x14ac:dyDescent="0.2"/>
    <row r="2213" ht="15" customHeight="1" x14ac:dyDescent="0.2"/>
    <row r="2214" ht="15" customHeight="1" x14ac:dyDescent="0.2"/>
    <row r="2215" ht="15" customHeight="1" x14ac:dyDescent="0.2"/>
    <row r="2216" ht="15" customHeight="1" x14ac:dyDescent="0.2"/>
    <row r="2217" ht="15" customHeight="1" x14ac:dyDescent="0.2"/>
    <row r="2218" ht="15" customHeight="1" x14ac:dyDescent="0.2"/>
    <row r="2219" ht="15" customHeight="1" x14ac:dyDescent="0.2"/>
    <row r="2220" ht="15" customHeight="1" x14ac:dyDescent="0.2"/>
    <row r="2221" ht="15" customHeight="1" x14ac:dyDescent="0.2"/>
    <row r="2222" ht="15" customHeight="1" x14ac:dyDescent="0.2"/>
    <row r="2223" ht="15" customHeight="1" x14ac:dyDescent="0.2"/>
    <row r="2224" ht="15" customHeight="1" x14ac:dyDescent="0.2"/>
    <row r="2225" ht="15" customHeight="1" x14ac:dyDescent="0.2"/>
    <row r="2226" ht="15" customHeight="1" x14ac:dyDescent="0.2"/>
    <row r="2227" ht="15" customHeight="1" x14ac:dyDescent="0.2"/>
    <row r="2228" ht="15" customHeight="1" x14ac:dyDescent="0.2"/>
    <row r="2229" ht="15" customHeight="1" x14ac:dyDescent="0.2"/>
    <row r="2230" ht="15" customHeight="1" x14ac:dyDescent="0.2"/>
    <row r="2231" ht="15" customHeight="1" x14ac:dyDescent="0.2"/>
    <row r="2232" ht="15" customHeight="1" x14ac:dyDescent="0.2"/>
    <row r="2233" ht="15" customHeight="1" x14ac:dyDescent="0.2"/>
    <row r="2234" ht="15" customHeight="1" x14ac:dyDescent="0.2"/>
    <row r="2235" ht="15" customHeight="1" x14ac:dyDescent="0.2"/>
    <row r="2236" ht="15" customHeight="1" x14ac:dyDescent="0.2"/>
    <row r="2237" ht="15" customHeight="1" x14ac:dyDescent="0.2"/>
    <row r="2238" ht="15" customHeight="1" x14ac:dyDescent="0.2"/>
    <row r="2239" ht="15" customHeight="1" x14ac:dyDescent="0.2"/>
    <row r="2240" ht="15" customHeight="1" x14ac:dyDescent="0.2"/>
    <row r="2241" ht="15" customHeight="1" x14ac:dyDescent="0.2"/>
    <row r="2242" ht="15" customHeight="1" x14ac:dyDescent="0.2"/>
    <row r="2243" ht="15" customHeight="1" x14ac:dyDescent="0.2"/>
    <row r="2244" ht="15" customHeight="1" x14ac:dyDescent="0.2"/>
    <row r="2245" ht="15" customHeight="1" x14ac:dyDescent="0.2"/>
    <row r="2246" ht="15" customHeight="1" x14ac:dyDescent="0.2"/>
    <row r="2247" ht="15" customHeight="1" x14ac:dyDescent="0.2"/>
    <row r="2248" ht="15" customHeight="1" x14ac:dyDescent="0.2"/>
    <row r="2249" ht="15" customHeight="1" x14ac:dyDescent="0.2"/>
    <row r="2250" ht="15" customHeight="1" x14ac:dyDescent="0.2"/>
    <row r="2251" ht="15" customHeight="1" x14ac:dyDescent="0.2"/>
    <row r="2252" ht="15" customHeight="1" x14ac:dyDescent="0.2"/>
    <row r="2253" ht="15" customHeight="1" x14ac:dyDescent="0.2"/>
    <row r="2254" ht="15" customHeight="1" x14ac:dyDescent="0.2"/>
    <row r="2255" ht="15" customHeight="1" x14ac:dyDescent="0.2"/>
    <row r="2256" ht="15" customHeight="1" x14ac:dyDescent="0.2"/>
    <row r="2257" ht="15" customHeight="1" x14ac:dyDescent="0.2"/>
    <row r="2258" ht="15" customHeight="1" x14ac:dyDescent="0.2"/>
    <row r="2259" ht="15" customHeight="1" x14ac:dyDescent="0.2"/>
    <row r="2260" ht="15" customHeight="1" x14ac:dyDescent="0.2"/>
    <row r="2261" ht="15" customHeight="1" x14ac:dyDescent="0.2"/>
    <row r="2262" ht="15" customHeight="1" x14ac:dyDescent="0.2"/>
    <row r="2263" ht="15" customHeight="1" x14ac:dyDescent="0.2"/>
    <row r="2264" ht="15" customHeight="1" x14ac:dyDescent="0.2"/>
    <row r="2265" ht="15" customHeight="1" x14ac:dyDescent="0.2"/>
    <row r="2266" ht="15" customHeight="1" x14ac:dyDescent="0.2"/>
    <row r="2267" ht="15" customHeight="1" x14ac:dyDescent="0.2"/>
    <row r="2268" ht="15" customHeight="1" x14ac:dyDescent="0.2"/>
    <row r="2269" ht="15" customHeight="1" x14ac:dyDescent="0.2"/>
    <row r="2270" ht="15" customHeight="1" x14ac:dyDescent="0.2"/>
    <row r="2271" ht="15" customHeight="1" x14ac:dyDescent="0.2"/>
    <row r="2272" ht="15" customHeight="1" x14ac:dyDescent="0.2"/>
    <row r="2273" ht="15" customHeight="1" x14ac:dyDescent="0.2"/>
    <row r="2274" ht="15" customHeight="1" x14ac:dyDescent="0.2"/>
    <row r="2275" ht="15" customHeight="1" x14ac:dyDescent="0.2"/>
    <row r="2276" ht="15" customHeight="1" x14ac:dyDescent="0.2"/>
    <row r="2277" ht="15" customHeight="1" x14ac:dyDescent="0.2"/>
    <row r="2278" ht="15" customHeight="1" x14ac:dyDescent="0.2"/>
    <row r="2279" ht="15" customHeight="1" x14ac:dyDescent="0.2"/>
    <row r="2280" ht="15" customHeight="1" x14ac:dyDescent="0.2"/>
    <row r="2281" ht="15" customHeight="1" x14ac:dyDescent="0.2"/>
    <row r="2282" ht="15" customHeight="1" x14ac:dyDescent="0.2"/>
    <row r="2283" ht="15" customHeight="1" x14ac:dyDescent="0.2"/>
    <row r="2284" ht="15" customHeight="1" x14ac:dyDescent="0.2"/>
    <row r="2285" ht="15" customHeight="1" x14ac:dyDescent="0.2"/>
    <row r="2286" ht="15" customHeight="1" x14ac:dyDescent="0.2"/>
    <row r="2287" ht="15" customHeight="1" x14ac:dyDescent="0.2"/>
    <row r="2288" ht="15" customHeight="1" x14ac:dyDescent="0.2"/>
    <row r="2289" ht="15" customHeight="1" x14ac:dyDescent="0.2"/>
    <row r="2290" ht="15" customHeight="1" x14ac:dyDescent="0.2"/>
    <row r="2291" ht="15" customHeight="1" x14ac:dyDescent="0.2"/>
    <row r="2292" ht="15" customHeight="1" x14ac:dyDescent="0.2"/>
    <row r="2293" ht="15" customHeight="1" x14ac:dyDescent="0.2"/>
    <row r="2294" ht="15" customHeight="1" x14ac:dyDescent="0.2"/>
    <row r="2295" ht="15" customHeight="1" x14ac:dyDescent="0.2"/>
    <row r="2296" ht="15" customHeight="1" x14ac:dyDescent="0.2"/>
    <row r="2297" ht="15" customHeight="1" x14ac:dyDescent="0.2"/>
    <row r="2298" ht="15" customHeight="1" x14ac:dyDescent="0.2"/>
    <row r="2299" ht="15" customHeight="1" x14ac:dyDescent="0.2"/>
    <row r="2300" ht="15" customHeight="1" x14ac:dyDescent="0.2"/>
    <row r="2301" ht="15" customHeight="1" x14ac:dyDescent="0.2"/>
    <row r="2302" ht="15" customHeight="1" x14ac:dyDescent="0.2"/>
    <row r="2303" ht="15" customHeight="1" x14ac:dyDescent="0.2"/>
    <row r="2304" ht="15" customHeight="1" x14ac:dyDescent="0.2"/>
    <row r="2305" ht="15" customHeight="1" x14ac:dyDescent="0.2"/>
    <row r="2306" ht="15" customHeight="1" x14ac:dyDescent="0.2"/>
    <row r="2307" ht="15" customHeight="1" x14ac:dyDescent="0.2"/>
    <row r="2308" ht="15" customHeight="1" x14ac:dyDescent="0.2"/>
    <row r="2309" ht="15" customHeight="1" x14ac:dyDescent="0.2"/>
  </sheetData>
  <pageMargins left="0.7" right="0.7" top="0.75" bottom="0.75" header="0.3" footer="0.3"/>
  <pageSetup scale="5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JAZZ EAT</vt:lpstr>
      <vt:lpstr>COKE</vt:lpstr>
      <vt:lpstr>COKE!Print_Area</vt:lpstr>
      <vt:lpstr>'JAZZ EAT'!Print_Area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AMPC-Nerissa Duldulao</cp:lastModifiedBy>
  <dcterms:created xsi:type="dcterms:W3CDTF">2026-05-06T05:26:36Z</dcterms:created>
  <dcterms:modified xsi:type="dcterms:W3CDTF">2026-06-15T07:24:20Z</dcterms:modified>
</cp:coreProperties>
</file>