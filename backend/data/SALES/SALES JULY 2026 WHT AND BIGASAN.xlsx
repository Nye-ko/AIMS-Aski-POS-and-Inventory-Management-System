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-2026 FILES\JOANNE\1. BIGASAN_HEE_WHT\WHT, BIGASAN &amp; GEP INVENTORY\SALES &amp; PURCHASES\WHT AND BIGASAN\7. JULY\"/>
    </mc:Choice>
  </mc:AlternateContent>
  <bookViews>
    <workbookView xWindow="0" yWindow="0" windowWidth="20490" windowHeight="6825" activeTab="1"/>
  </bookViews>
  <sheets>
    <sheet name="BIGASAN" sheetId="4" r:id="rId1"/>
    <sheet name="WHT" sheetId="3" r:id="rId2"/>
  </sheets>
  <definedNames>
    <definedName name="_xlnm._FilterDatabase" localSheetId="0" hidden="1">BIGASAN!$A$5:$O$57</definedName>
    <definedName name="_xlnm._FilterDatabase" localSheetId="1" hidden="1">WHT!$A$5:$P$78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3" l="1"/>
  <c r="J10" i="3"/>
  <c r="J9" i="3"/>
  <c r="J8" i="3"/>
  <c r="J7" i="3"/>
  <c r="J6" i="3"/>
  <c r="F76" i="3"/>
  <c r="E76" i="3"/>
  <c r="G76" i="3"/>
  <c r="I76" i="3"/>
  <c r="F55" i="4"/>
  <c r="E55" i="4"/>
  <c r="H34" i="4"/>
  <c r="J34" i="4"/>
  <c r="K34" i="4"/>
  <c r="H35" i="4"/>
  <c r="J35" i="4"/>
  <c r="K35" i="4"/>
  <c r="H36" i="4"/>
  <c r="J36" i="4"/>
  <c r="K36" i="4"/>
  <c r="H37" i="4"/>
  <c r="J37" i="4"/>
  <c r="K37" i="4"/>
  <c r="H38" i="4"/>
  <c r="J38" i="4"/>
  <c r="K38" i="4"/>
  <c r="H39" i="4"/>
  <c r="J39" i="4"/>
  <c r="K39" i="4"/>
  <c r="H40" i="4"/>
  <c r="J40" i="4"/>
  <c r="K40" i="4"/>
  <c r="H41" i="4"/>
  <c r="J41" i="4"/>
  <c r="K41" i="4"/>
  <c r="H42" i="4"/>
  <c r="J42" i="4"/>
  <c r="K42" i="4"/>
  <c r="H43" i="4"/>
  <c r="J43" i="4"/>
  <c r="K43" i="4"/>
  <c r="H44" i="4"/>
  <c r="J44" i="4"/>
  <c r="K44" i="4"/>
  <c r="H45" i="4"/>
  <c r="J45" i="4"/>
  <c r="K45" i="4"/>
  <c r="H46" i="4"/>
  <c r="J46" i="4"/>
  <c r="K46" i="4"/>
  <c r="H47" i="4"/>
  <c r="J47" i="4"/>
  <c r="K47" i="4"/>
  <c r="H48" i="4"/>
  <c r="J48" i="4"/>
  <c r="K48" i="4"/>
  <c r="H49" i="4"/>
  <c r="J49" i="4"/>
  <c r="K49" i="4"/>
  <c r="H50" i="4"/>
  <c r="J50" i="4"/>
  <c r="K50" i="4"/>
  <c r="H51" i="4"/>
  <c r="J51" i="4"/>
  <c r="K51" i="4"/>
  <c r="H52" i="4"/>
  <c r="J52" i="4"/>
  <c r="K52" i="4"/>
  <c r="H53" i="4"/>
  <c r="J53" i="4"/>
  <c r="K53" i="4"/>
  <c r="H54" i="4"/>
  <c r="J54" i="4"/>
  <c r="K54" i="4"/>
  <c r="H33" i="4" l="1"/>
  <c r="J33" i="4"/>
  <c r="K33" i="4"/>
  <c r="H32" i="4" l="1"/>
  <c r="J32" i="4"/>
  <c r="H31" i="4"/>
  <c r="J31" i="4"/>
  <c r="K32" i="4"/>
  <c r="K31" i="4"/>
  <c r="H6" i="3" l="1"/>
  <c r="G55" i="4"/>
  <c r="J6" i="4" l="1"/>
  <c r="J7" i="4" l="1"/>
  <c r="J8" i="4"/>
  <c r="J9" i="4"/>
  <c r="J10" i="4"/>
  <c r="J11" i="4"/>
  <c r="J12" i="4"/>
  <c r="J13" i="4"/>
  <c r="J14" i="4"/>
  <c r="J15" i="4"/>
  <c r="J16" i="4"/>
  <c r="J17" i="4"/>
  <c r="H6" i="4"/>
  <c r="H7" i="4"/>
  <c r="H8" i="4"/>
  <c r="H9" i="4"/>
  <c r="H10" i="4"/>
  <c r="H11" i="4"/>
  <c r="H12" i="4"/>
  <c r="H13" i="4"/>
  <c r="H14" i="4"/>
  <c r="H15" i="4"/>
  <c r="H16" i="4"/>
  <c r="H17" i="4"/>
  <c r="I55" i="4"/>
  <c r="I4" i="4" s="1"/>
  <c r="G4" i="4"/>
  <c r="F4" i="4"/>
  <c r="E4" i="4"/>
  <c r="K30" i="4"/>
  <c r="J30" i="4"/>
  <c r="H30" i="4"/>
  <c r="K29" i="4"/>
  <c r="J29" i="4"/>
  <c r="H29" i="4"/>
  <c r="K28" i="4"/>
  <c r="J28" i="4"/>
  <c r="H28" i="4"/>
  <c r="K27" i="4"/>
  <c r="J27" i="4"/>
  <c r="H27" i="4"/>
  <c r="K26" i="4"/>
  <c r="J26" i="4"/>
  <c r="H26" i="4"/>
  <c r="K25" i="4"/>
  <c r="J25" i="4"/>
  <c r="H25" i="4"/>
  <c r="K24" i="4"/>
  <c r="J24" i="4"/>
  <c r="H24" i="4"/>
  <c r="K23" i="4"/>
  <c r="J23" i="4"/>
  <c r="H23" i="4"/>
  <c r="K22" i="4"/>
  <c r="J22" i="4"/>
  <c r="H22" i="4"/>
  <c r="K21" i="4"/>
  <c r="J21" i="4"/>
  <c r="H21" i="4"/>
  <c r="K20" i="4"/>
  <c r="J20" i="4"/>
  <c r="H20" i="4"/>
  <c r="K19" i="4"/>
  <c r="J19" i="4"/>
  <c r="H19" i="4"/>
  <c r="K18" i="4"/>
  <c r="J18" i="4"/>
  <c r="H18" i="4"/>
  <c r="K17" i="4"/>
  <c r="K16" i="4"/>
  <c r="K15" i="4"/>
  <c r="K14" i="4"/>
  <c r="K13" i="4"/>
  <c r="K12" i="4"/>
  <c r="K11" i="4"/>
  <c r="K10" i="4"/>
  <c r="K9" i="4"/>
  <c r="K8" i="4"/>
  <c r="K7" i="4"/>
  <c r="K6" i="4"/>
  <c r="J11" i="3"/>
  <c r="J12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I4" i="3"/>
  <c r="G4" i="3"/>
  <c r="F4" i="3"/>
  <c r="E4" i="3"/>
  <c r="K75" i="3"/>
  <c r="J75" i="3"/>
  <c r="H75" i="3"/>
  <c r="K74" i="3"/>
  <c r="J74" i="3"/>
  <c r="H74" i="3"/>
  <c r="K73" i="3"/>
  <c r="J73" i="3"/>
  <c r="H73" i="3"/>
  <c r="K72" i="3"/>
  <c r="J72" i="3"/>
  <c r="H72" i="3"/>
  <c r="K71" i="3"/>
  <c r="J71" i="3"/>
  <c r="H71" i="3"/>
  <c r="K70" i="3"/>
  <c r="J70" i="3"/>
  <c r="H70" i="3"/>
  <c r="K69" i="3"/>
  <c r="J69" i="3"/>
  <c r="H69" i="3"/>
  <c r="K68" i="3"/>
  <c r="J68" i="3"/>
  <c r="H68" i="3"/>
  <c r="K67" i="3"/>
  <c r="J67" i="3"/>
  <c r="H67" i="3"/>
  <c r="K66" i="3"/>
  <c r="J66" i="3"/>
  <c r="H66" i="3"/>
  <c r="K65" i="3"/>
  <c r="J65" i="3"/>
  <c r="H65" i="3"/>
  <c r="K64" i="3"/>
  <c r="J64" i="3"/>
  <c r="H64" i="3"/>
  <c r="K63" i="3"/>
  <c r="J63" i="3"/>
  <c r="H63" i="3"/>
  <c r="K62" i="3"/>
  <c r="J62" i="3"/>
  <c r="H62" i="3"/>
  <c r="K61" i="3"/>
  <c r="J61" i="3"/>
  <c r="H61" i="3"/>
  <c r="K60" i="3"/>
  <c r="J60" i="3"/>
  <c r="H60" i="3"/>
  <c r="K59" i="3"/>
  <c r="J59" i="3"/>
  <c r="H59" i="3"/>
  <c r="K58" i="3"/>
  <c r="J58" i="3"/>
  <c r="H58" i="3"/>
  <c r="K57" i="3"/>
  <c r="J57" i="3"/>
  <c r="H57" i="3"/>
  <c r="K56" i="3"/>
  <c r="J56" i="3"/>
  <c r="H56" i="3"/>
  <c r="K55" i="3"/>
  <c r="J55" i="3"/>
  <c r="H55" i="3"/>
  <c r="K54" i="3"/>
  <c r="J54" i="3"/>
  <c r="H54" i="3"/>
  <c r="K53" i="3"/>
  <c r="J53" i="3"/>
  <c r="H53" i="3"/>
  <c r="K52" i="3"/>
  <c r="J52" i="3"/>
  <c r="H52" i="3"/>
  <c r="K51" i="3"/>
  <c r="J51" i="3"/>
  <c r="H51" i="3"/>
  <c r="K50" i="3"/>
  <c r="J50" i="3"/>
  <c r="H50" i="3"/>
  <c r="K49" i="3"/>
  <c r="J49" i="3"/>
  <c r="H49" i="3"/>
  <c r="K48" i="3"/>
  <c r="J48" i="3"/>
  <c r="H48" i="3"/>
  <c r="K47" i="3"/>
  <c r="J47" i="3"/>
  <c r="H47" i="3"/>
  <c r="K46" i="3"/>
  <c r="J46" i="3"/>
  <c r="H46" i="3"/>
  <c r="K45" i="3"/>
  <c r="J45" i="3"/>
  <c r="H45" i="3"/>
  <c r="K44" i="3"/>
  <c r="J44" i="3"/>
  <c r="H44" i="3"/>
  <c r="K43" i="3"/>
  <c r="J43" i="3"/>
  <c r="H43" i="3"/>
  <c r="K42" i="3"/>
  <c r="J42" i="3"/>
  <c r="H42" i="3"/>
  <c r="K41" i="3"/>
  <c r="J41" i="3"/>
  <c r="H41" i="3"/>
  <c r="K40" i="3"/>
  <c r="J40" i="3"/>
  <c r="H40" i="3"/>
  <c r="K39" i="3"/>
  <c r="J39" i="3"/>
  <c r="H39" i="3"/>
  <c r="K38" i="3"/>
  <c r="J38" i="3"/>
  <c r="H38" i="3"/>
  <c r="K37" i="3"/>
  <c r="J37" i="3"/>
  <c r="H37" i="3"/>
  <c r="K36" i="3"/>
  <c r="J36" i="3"/>
  <c r="H36" i="3"/>
  <c r="K35" i="3"/>
  <c r="J35" i="3"/>
  <c r="H35" i="3"/>
  <c r="K34" i="3"/>
  <c r="J34" i="3"/>
  <c r="H34" i="3"/>
  <c r="K33" i="3"/>
  <c r="J33" i="3"/>
  <c r="H33" i="3"/>
  <c r="K32" i="3"/>
  <c r="J32" i="3"/>
  <c r="H32" i="3"/>
  <c r="K31" i="3"/>
  <c r="J31" i="3"/>
  <c r="H31" i="3"/>
  <c r="K30" i="3"/>
  <c r="J30" i="3"/>
  <c r="H30" i="3"/>
  <c r="K29" i="3"/>
  <c r="J29" i="3"/>
  <c r="H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J55" i="4" l="1"/>
  <c r="J57" i="4" s="1"/>
  <c r="H55" i="4"/>
  <c r="H4" i="4" s="1"/>
  <c r="J76" i="3"/>
  <c r="J78" i="3" s="1"/>
  <c r="K55" i="4"/>
  <c r="K76" i="3"/>
  <c r="H76" i="3"/>
  <c r="H4" i="3" s="1"/>
  <c r="J4" i="4" l="1"/>
  <c r="J4" i="3"/>
</calcChain>
</file>

<file path=xl/sharedStrings.xml><?xml version="1.0" encoding="utf-8"?>
<sst xmlns="http://schemas.openxmlformats.org/spreadsheetml/2006/main" count="247" uniqueCount="132">
  <si>
    <t>ASKI MULTIPURPOSE COOPERATIVE</t>
  </si>
  <si>
    <t>DATE</t>
  </si>
  <si>
    <t>PARTICULAR</t>
  </si>
  <si>
    <t>TRANSACTION</t>
  </si>
  <si>
    <t>DESCRIPTION</t>
  </si>
  <si>
    <t>QTY</t>
  </si>
  <si>
    <t>COST</t>
  </si>
  <si>
    <t>CASH SALE</t>
  </si>
  <si>
    <t>SALES DISCOUNT</t>
  </si>
  <si>
    <t>NET SALES</t>
  </si>
  <si>
    <t>COGS</t>
  </si>
  <si>
    <t>VARIANCE</t>
  </si>
  <si>
    <t>SALES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</si>
  <si>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</si>
  <si>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UNIT PRICE</t>
  </si>
  <si>
    <t>CRB (SALES)</t>
  </si>
  <si>
    <t>MISCELLANEOUS INCOME</t>
  </si>
  <si>
    <t>WATERHOPE SLIM</t>
  </si>
  <si>
    <t>WATERHOPE ROUND</t>
  </si>
  <si>
    <t>WATERHOPE BOTTLED WATER 330ML</t>
  </si>
  <si>
    <t>SALES BOOK - WHT</t>
  </si>
  <si>
    <t>SALES BOOK - BIGASAN</t>
  </si>
  <si>
    <t>BIGASAN LUCILLE @62</t>
  </si>
  <si>
    <t>BIGASAN BUSILAK @57</t>
  </si>
  <si>
    <t>FUND: BIGASAN</t>
  </si>
  <si>
    <t>BUSILAK @57 GA</t>
  </si>
  <si>
    <t>TO RECORD ADJUSTMENT ON SALES OF BIGASAN FOR THE MONTH OF MAY 2026</t>
  </si>
  <si>
    <t>14-14-14 ATLAS</t>
  </si>
  <si>
    <t>UREA ATLAS</t>
  </si>
  <si>
    <t>SOLANE</t>
  </si>
  <si>
    <t>SOLANE 2</t>
  </si>
  <si>
    <t>JULY 2026</t>
  </si>
  <si>
    <t>0-145223</t>
  </si>
  <si>
    <t>0-145226</t>
  </si>
  <si>
    <t>0-145241</t>
  </si>
  <si>
    <t>0-145267</t>
  </si>
  <si>
    <t>0-145274</t>
  </si>
  <si>
    <t>0-145338</t>
  </si>
  <si>
    <t>BIGASAN 16-20-0 ATLAS 50KG</t>
  </si>
  <si>
    <t>BIGASAN 25-0 MB</t>
  </si>
  <si>
    <t>BIGASAN AROMA @62</t>
  </si>
  <si>
    <t>BIGASAN LUCILLE @51</t>
  </si>
  <si>
    <t>0-145227</t>
  </si>
  <si>
    <t>0-145252</t>
  </si>
  <si>
    <t>0-145270</t>
  </si>
  <si>
    <t>0-145387</t>
  </si>
  <si>
    <t>0-145388</t>
  </si>
  <si>
    <t>0-145389</t>
  </si>
  <si>
    <t>0-145418</t>
  </si>
  <si>
    <t>0-145420</t>
  </si>
  <si>
    <t>0-145451</t>
  </si>
  <si>
    <t>0-145452</t>
  </si>
  <si>
    <t>0-145473</t>
  </si>
  <si>
    <t>0-145475</t>
  </si>
  <si>
    <t>0-145485</t>
  </si>
  <si>
    <t>0-145500</t>
  </si>
  <si>
    <t>0-145506</t>
  </si>
  <si>
    <t>WATERHOPE BOTTLED WATER 330ML-2</t>
  </si>
  <si>
    <t>07/15/2026</t>
  </si>
  <si>
    <t>0-145516</t>
  </si>
  <si>
    <t>0-145691</t>
  </si>
  <si>
    <t>0-145694</t>
  </si>
  <si>
    <t>0-145754</t>
  </si>
  <si>
    <t>0-145798</t>
  </si>
  <si>
    <t>0-145823</t>
  </si>
  <si>
    <t>0-145824</t>
  </si>
  <si>
    <t>0-145828</t>
  </si>
  <si>
    <t>0-145873</t>
  </si>
  <si>
    <t>0-145935</t>
  </si>
  <si>
    <t>BIGASAN SINANDOMENG 1 @56</t>
  </si>
  <si>
    <t>BIGASAN MAHALINA@59</t>
  </si>
  <si>
    <t>BIGASAN LUCILLE@55</t>
  </si>
  <si>
    <t>BIGASAN BUSILAK-2 @57</t>
  </si>
  <si>
    <t>0-145536</t>
  </si>
  <si>
    <t>0-145537</t>
  </si>
  <si>
    <t>0-145626</t>
  </si>
  <si>
    <t>0-145627</t>
  </si>
  <si>
    <t>0-145628</t>
  </si>
  <si>
    <t>0-145635</t>
  </si>
  <si>
    <t>0-145667</t>
  </si>
  <si>
    <t>0-145671</t>
  </si>
  <si>
    <t>0-145672</t>
  </si>
  <si>
    <t>0-145673</t>
  </si>
  <si>
    <t>0-145676</t>
  </si>
  <si>
    <t>0-145679</t>
  </si>
  <si>
    <t>0-145728</t>
  </si>
  <si>
    <t>0-145774</t>
  </si>
  <si>
    <t>0-145892</t>
  </si>
  <si>
    <t>0-145893</t>
  </si>
  <si>
    <t>0-145894</t>
  </si>
  <si>
    <t>0-145895</t>
  </si>
  <si>
    <t>0-145896</t>
  </si>
  <si>
    <t>0-145909</t>
  </si>
  <si>
    <t>0-145964</t>
  </si>
  <si>
    <t>0-145965</t>
  </si>
  <si>
    <t>0-146043</t>
  </si>
  <si>
    <t>BIGASAN NATASHA@63</t>
  </si>
  <si>
    <t>0-145987</t>
  </si>
  <si>
    <t>0-146036</t>
  </si>
  <si>
    <t>0-146039</t>
  </si>
  <si>
    <t>0-146050</t>
  </si>
  <si>
    <t>0-146051</t>
  </si>
  <si>
    <t>0-146156</t>
  </si>
  <si>
    <t>0-146079</t>
  </si>
  <si>
    <t>0-146129</t>
  </si>
  <si>
    <t>0-146271</t>
  </si>
  <si>
    <t>0-146285</t>
  </si>
  <si>
    <t>0-146359</t>
  </si>
  <si>
    <t>0-146360</t>
  </si>
  <si>
    <t>0-146363</t>
  </si>
  <si>
    <t>0-146382</t>
  </si>
  <si>
    <t>0-146387</t>
  </si>
  <si>
    <t>0-146388</t>
  </si>
  <si>
    <t>0-146389</t>
  </si>
  <si>
    <t>0-146390</t>
  </si>
  <si>
    <t>SOLANE 3</t>
  </si>
  <si>
    <t>BIGASAN MALINAW @57</t>
  </si>
  <si>
    <t>07/10/2026</t>
  </si>
  <si>
    <t>7/292026</t>
  </si>
  <si>
    <t>07/31/2026</t>
  </si>
  <si>
    <t>0-146191</t>
  </si>
  <si>
    <t>0-146199</t>
  </si>
  <si>
    <t>0-146200</t>
  </si>
  <si>
    <t>0-146208</t>
  </si>
  <si>
    <t>0-146227</t>
  </si>
  <si>
    <t>0-146234</t>
  </si>
  <si>
    <t>0-146284</t>
  </si>
  <si>
    <t>0-146352</t>
  </si>
  <si>
    <t>0-146357</t>
  </si>
  <si>
    <t>0-146366</t>
  </si>
  <si>
    <t>0-146367</t>
  </si>
  <si>
    <t>0-146375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</si>
</sst>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7">
    <xf numFmtId="0" fontId="0" fillId="0" borderId="0" xfId="0"/>
    <xf numFmtId="43" fontId="3" fillId="0" borderId="0" xfId="1" applyFont="1" applyFill="1" applyAlignment="1">
      <alignment horizontal="center"/>
    </xf>
    <xf numFmtId="43" fontId="3" fillId="0" borderId="0" xfId="1" applyFont="1" applyFill="1"/>
    <xf numFmtId="43" fontId="2" fillId="0" borderId="3" xfId="1" applyFont="1" applyFill="1" applyBorder="1" applyAlignment="1">
      <alignment horizontal="center" vertical="center" wrapText="1"/>
    </xf>
    <xf numFmtId="43" fontId="2" fillId="0" borderId="4" xfId="1" applyFont="1" applyFill="1" applyBorder="1" applyAlignment="1">
      <alignment horizontal="center" vertical="center" wrapText="1"/>
    </xf>
    <xf numFmtId="43" fontId="2" fillId="0" borderId="5" xfId="1" applyFont="1" applyFill="1" applyBorder="1" applyAlignment="1">
      <alignment horizontal="center" vertical="center" wrapText="1"/>
    </xf>
    <xf numFmtId="43" fontId="3" fillId="0" borderId="7" xfId="1" applyFont="1" applyFill="1" applyBorder="1" applyAlignment="1">
      <alignment horizontal="center"/>
    </xf>
    <xf numFmtId="43" fontId="3" fillId="0" borderId="7" xfId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43" fontId="3" fillId="0" borderId="0" xfId="0" applyNumberFormat="1" applyFont="1"/>
    <xf numFmtId="14" fontId="2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2" fillId="0" borderId="0" xfId="0" applyNumberFormat="1" applyFont="1"/>
    <xf numFmtId="43" fontId="3" fillId="0" borderId="0" xfId="1" applyFont="1" applyFill="1" applyAlignment="1">
      <alignment vertical="center"/>
    </xf>
    <xf numFmtId="17" fontId="2" fillId="0" borderId="0" xfId="0" quotePrefix="1" applyNumberFormat="1" applyFont="1"/>
    <xf numFmtId="43" fontId="2" fillId="0" borderId="1" xfId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0" borderId="10" xfId="1" applyFont="1" applyFill="1" applyBorder="1" applyAlignment="1">
      <alignment horizontal="center" vertical="center" wrapText="1"/>
    </xf>
    <xf numFmtId="43" fontId="2" fillId="0" borderId="8" xfId="1" applyFont="1" applyFill="1" applyBorder="1" applyAlignment="1">
      <alignment horizontal="center" vertical="center" wrapText="1"/>
    </xf>
    <xf numFmtId="43" fontId="2" fillId="0" borderId="0" xfId="1" applyFont="1" applyFill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12" xfId="1" applyNumberFormat="1" applyFont="1" applyFill="1" applyBorder="1" applyAlignment="1">
      <alignment horizontal="center"/>
    </xf>
    <xf numFmtId="43" fontId="3" fillId="0" borderId="6" xfId="1" applyFont="1" applyFill="1" applyBorder="1" applyAlignment="1">
      <alignment horizontal="center"/>
    </xf>
    <xf numFmtId="43" fontId="3" fillId="0" borderId="7" xfId="1" applyFont="1" applyFill="1" applyBorder="1"/>
    <xf numFmtId="43" fontId="3" fillId="0" borderId="13" xfId="1" applyFont="1" applyFill="1" applyBorder="1"/>
    <xf numFmtId="43" fontId="3" fillId="0" borderId="9" xfId="1" applyFont="1" applyFill="1" applyBorder="1"/>
    <xf numFmtId="0" fontId="6" fillId="0" borderId="7" xfId="0" applyFont="1" applyBorder="1" applyAlignment="1">
      <alignment horizontal="left" vertical="top"/>
    </xf>
    <xf numFmtId="164" fontId="3" fillId="0" borderId="0" xfId="0" applyNumberFormat="1" applyFont="1"/>
    <xf numFmtId="1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43" fontId="3" fillId="0" borderId="5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2" fillId="0" borderId="0" xfId="0" applyFont="1"/>
    <xf numFmtId="14" fontId="1" fillId="0" borderId="0" xfId="1" applyNumberFormat="1" applyFont="1" applyFill="1"/>
    <xf numFmtId="43" fontId="1" fillId="0" borderId="0" xfId="1" applyFont="1" applyFill="1"/>
    <xf numFmtId="43" fontId="7" fillId="0" borderId="0" xfId="1" applyFont="1" applyFill="1"/>
    <xf numFmtId="43" fontId="5" fillId="0" borderId="0" xfId="1" applyFont="1" applyFill="1"/>
    <xf numFmtId="43" fontId="2" fillId="0" borderId="0" xfId="1" applyFont="1" applyFill="1"/>
    <xf numFmtId="43" fontId="1" fillId="0" borderId="0" xfId="1" applyFont="1" applyFill="1" applyAlignment="1">
      <alignment horizontal="center"/>
    </xf>
    <xf numFmtId="43" fontId="3" fillId="0" borderId="0" xfId="1" applyFont="1" applyFill="1" applyAlignment="1">
      <alignment horizontal="center" vertical="center"/>
    </xf>
    <xf numFmtId="14" fontId="3" fillId="0" borderId="11" xfId="0" applyNumberFormat="1" applyFon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left" vertical="top"/>
    </xf>
    <xf numFmtId="0" fontId="3" fillId="0" borderId="0" xfId="0" applyFont="1" applyFill="1"/>
    <xf numFmtId="0" fontId="6" fillId="0" borderId="7" xfId="0" applyFont="1" applyFill="1" applyBorder="1" applyAlignment="1">
      <alignment horizontal="left" vertical="top"/>
    </xf>
    <xf numFmtId="164" fontId="3" fillId="0" borderId="0" xfId="0" applyNumberFormat="1" applyFont="1" applyFill="1"/>
    <xf numFmtId="0" fontId="3" fillId="0" borderId="6" xfId="0" applyNumberFormat="1" applyFont="1" applyFill="1" applyBorder="1" applyAlignment="1">
      <alignment horizontal="center"/>
    </xf>
    <xf numFmtId="0" fontId="3" fillId="0" borderId="7" xfId="1" applyNumberFormat="1" applyFont="1" applyFill="1" applyBorder="1" applyAlignment="1">
      <alignment vertical="center"/>
    </xf>
    <xf numFmtId="0" fontId="3" fillId="0" borderId="7" xfId="1" applyNumberFormat="1" applyFont="1" applyFill="1" applyBorder="1" applyAlignment="1">
      <alignment horizontal="center"/>
    </xf>
    <xf numFmtId="4" fontId="3" fillId="0" borderId="7" xfId="1" applyNumberFormat="1" applyFont="1" applyFill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43" fontId="3" fillId="0" borderId="7" xfId="1" applyFont="1" applyFill="1" applyBorder="1" applyAlignment="1">
      <alignment horizontal="right" vertical="center"/>
    </xf>
    <xf numFmtId="43" fontId="3" fillId="0" borderId="0" xfId="1" applyFont="1" applyAlignment="1">
      <alignment horizontal="center"/>
    </xf>
    <xf numFmtId="43" fontId="3" fillId="0" borderId="0" xfId="1" applyFont="1"/>
    <xf numFmtId="43" fontId="2" fillId="0" borderId="3" xfId="1" applyFont="1" applyBorder="1" applyAlignment="1">
      <alignment horizontal="center" vertical="center" wrapText="1"/>
    </xf>
    <xf numFmtId="14" fontId="2" fillId="0" borderId="0" xfId="0" applyNumberFormat="1" applyFont="1" applyFill="1"/>
    <xf numFmtId="0" fontId="3" fillId="0" borderId="0" xfId="0" applyFont="1" applyFill="1" applyAlignment="1">
      <alignment horizontal="center"/>
    </xf>
    <xf numFmtId="43" fontId="3" fillId="0" borderId="0" xfId="0" applyNumberFormat="1" applyFont="1" applyFill="1"/>
    <xf numFmtId="17" fontId="2" fillId="0" borderId="0" xfId="0" quotePrefix="1" applyNumberFormat="1" applyFont="1" applyFill="1"/>
    <xf numFmtId="14" fontId="2" fillId="0" borderId="0" xfId="0" applyNumberFormat="1" applyFont="1" applyFill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3" fillId="0" borderId="13" xfId="0" applyNumberFormat="1" applyFont="1" applyFill="1" applyBorder="1" applyAlignment="1">
      <alignment horizontal="center"/>
    </xf>
    <xf numFmtId="1" fontId="3" fillId="0" borderId="13" xfId="0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left" vertical="top" wrapText="1"/>
    </xf>
    <xf numFmtId="14" fontId="3" fillId="0" borderId="2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/>
    <xf numFmtId="0" fontId="3" fillId="0" borderId="4" xfId="0" applyFont="1" applyFill="1" applyBorder="1"/>
    <xf numFmtId="14" fontId="3" fillId="0" borderId="0" xfId="0" applyNumberFormat="1" applyFont="1" applyFill="1" applyAlignment="1">
      <alignment horizontal="center"/>
    </xf>
    <xf numFmtId="0" fontId="8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horizontal="left"/>
    </xf>
    <xf numFmtId="43" fontId="3" fillId="0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99"/>
  </sheetPr>
  <dimension ref="A1:N1204"/>
  <sheetViews>
    <sheetView workbookViewId="0">
      <selection activeCell="F11" sqref="F11"/>
    </sheetView>
  </sheetViews>
  <sheetFormatPr defaultColWidth="9.140625" defaultRowHeight="12.75" x14ac:dyDescent="0.2"/>
  <cols>
    <col min="1" max="1" width="12" style="82" customWidth="1"/>
    <col min="2" max="2" width="14.5703125" style="65" customWidth="1"/>
    <col min="3" max="3" width="17.28515625" style="52" customWidth="1"/>
    <col min="4" max="4" width="33.28515625" style="52" customWidth="1"/>
    <col min="5" max="5" width="13" style="1" customWidth="1"/>
    <col min="6" max="6" width="11.42578125" style="65" customWidth="1"/>
    <col min="7" max="7" width="12.42578125" style="18" customWidth="1"/>
    <col min="8" max="8" width="14" style="1" customWidth="1"/>
    <col min="9" max="9" width="15.7109375" style="2" customWidth="1"/>
    <col min="10" max="10" width="16" style="2" customWidth="1"/>
    <col min="11" max="11" width="14.140625" style="2" bestFit="1" customWidth="1"/>
    <col min="12" max="13" width="11" style="2" bestFit="1" customWidth="1"/>
    <col min="14" max="16384" width="9.140625" style="52"/>
  </cols>
  <sheetData>
    <row r="1" spans="1:13" x14ac:dyDescent="0.2">
      <c r="A1" s="64" t="s">
        <v>0</v>
      </c>
    </row>
    <row r="2" spans="1:13" x14ac:dyDescent="0.2">
      <c r="A2" s="64" t="s">
        <v>21</v>
      </c>
      <c r="D2" s="66"/>
    </row>
    <row r="3" spans="1:13" ht="13.5" thickBot="1" x14ac:dyDescent="0.25">
      <c r="A3" s="67" t="s">
        <v>31</v>
      </c>
      <c r="E3" s="52"/>
      <c r="F3" s="52"/>
      <c r="H3" s="52"/>
      <c r="I3" s="52"/>
    </row>
    <row r="4" spans="1:13" ht="13.5" thickBot="1" x14ac:dyDescent="0.25">
      <c r="A4" s="68"/>
      <c r="D4" s="52" t="s">
        <v>13</v>
      </c>
      <c r="E4" s="20">
        <f t="shared" ref="E4:J4" si="0">E55</f>
        <v>307.5</v>
      </c>
      <c r="F4" s="20">
        <f t="shared" si="0"/>
        <v>22139.4</v>
      </c>
      <c r="G4" s="20">
        <f t="shared" si="0"/>
        <v>25075</v>
      </c>
      <c r="H4" s="20">
        <f>H55</f>
        <v>56336</v>
      </c>
      <c r="I4" s="20">
        <f t="shared" si="0"/>
        <v>0</v>
      </c>
      <c r="J4" s="20">
        <f t="shared" si="0"/>
        <v>56336</v>
      </c>
    </row>
    <row r="5" spans="1:13" s="74" customFormat="1" ht="13.5" thickBot="1" x14ac:dyDescent="0.25">
      <c r="A5" s="69" t="s">
        <v>1</v>
      </c>
      <c r="B5" s="70" t="s">
        <v>2</v>
      </c>
      <c r="C5" s="71" t="s">
        <v>3</v>
      </c>
      <c r="D5" s="72" t="s">
        <v>4</v>
      </c>
      <c r="E5" s="23" t="s">
        <v>5</v>
      </c>
      <c r="F5" s="73" t="s">
        <v>6</v>
      </c>
      <c r="G5" s="3" t="s">
        <v>14</v>
      </c>
      <c r="H5" s="3" t="s">
        <v>7</v>
      </c>
      <c r="I5" s="5" t="s">
        <v>8</v>
      </c>
      <c r="J5" s="4" t="s">
        <v>9</v>
      </c>
      <c r="K5" s="24" t="s">
        <v>10</v>
      </c>
      <c r="L5" s="25"/>
      <c r="M5" s="25"/>
    </row>
    <row r="6" spans="1:13" ht="15" x14ac:dyDescent="0.2">
      <c r="A6" s="49">
        <v>46204</v>
      </c>
      <c r="B6" s="55" t="s">
        <v>32</v>
      </c>
      <c r="C6" s="55">
        <v>50020</v>
      </c>
      <c r="D6" s="51" t="s">
        <v>28</v>
      </c>
      <c r="E6" s="28">
        <v>1</v>
      </c>
      <c r="F6" s="58">
        <v>2450</v>
      </c>
      <c r="G6" s="7">
        <v>2850</v>
      </c>
      <c r="H6" s="29">
        <f t="shared" ref="H6:H17" si="1">E6*G6</f>
        <v>2850</v>
      </c>
      <c r="I6" s="30">
        <v>0</v>
      </c>
      <c r="J6" s="31">
        <f>(G6*E6)-I6</f>
        <v>2850</v>
      </c>
      <c r="K6" s="32">
        <f t="shared" ref="K6:K17" si="2">E6*F6</f>
        <v>2450</v>
      </c>
    </row>
    <row r="7" spans="1:13" ht="15" x14ac:dyDescent="0.2">
      <c r="A7" s="49">
        <v>46204</v>
      </c>
      <c r="B7" s="55"/>
      <c r="C7" s="55">
        <v>50150</v>
      </c>
      <c r="D7" s="53" t="s">
        <v>27</v>
      </c>
      <c r="E7" s="28">
        <v>1</v>
      </c>
      <c r="F7" s="58">
        <v>1880</v>
      </c>
      <c r="G7" s="7">
        <v>2000</v>
      </c>
      <c r="H7" s="29">
        <f t="shared" si="1"/>
        <v>2000</v>
      </c>
      <c r="I7" s="30">
        <v>0</v>
      </c>
      <c r="J7" s="31">
        <f t="shared" ref="J7:J17" si="3">(G7*E7)-I7</f>
        <v>2000</v>
      </c>
      <c r="K7" s="32">
        <f t="shared" si="2"/>
        <v>1880</v>
      </c>
    </row>
    <row r="8" spans="1:13" ht="15" x14ac:dyDescent="0.2">
      <c r="A8" s="49">
        <v>46204</v>
      </c>
      <c r="B8" s="55" t="s">
        <v>33</v>
      </c>
      <c r="C8" s="55">
        <v>50204</v>
      </c>
      <c r="D8" s="53" t="s">
        <v>38</v>
      </c>
      <c r="E8" s="28">
        <v>1</v>
      </c>
      <c r="F8" s="58">
        <v>1800</v>
      </c>
      <c r="G8" s="7">
        <v>1850</v>
      </c>
      <c r="H8" s="29">
        <f t="shared" si="1"/>
        <v>1850</v>
      </c>
      <c r="I8" s="30">
        <v>0</v>
      </c>
      <c r="J8" s="31">
        <f t="shared" si="3"/>
        <v>1850</v>
      </c>
      <c r="K8" s="32">
        <f t="shared" si="2"/>
        <v>1800</v>
      </c>
    </row>
    <row r="9" spans="1:13" ht="15" x14ac:dyDescent="0.2">
      <c r="A9" s="49">
        <v>46204</v>
      </c>
      <c r="B9" s="55"/>
      <c r="C9" s="55">
        <v>50247</v>
      </c>
      <c r="D9" s="53" t="s">
        <v>39</v>
      </c>
      <c r="E9" s="28">
        <v>2</v>
      </c>
      <c r="F9" s="58">
        <v>1370</v>
      </c>
      <c r="G9" s="7">
        <v>1420</v>
      </c>
      <c r="H9" s="29">
        <f t="shared" si="1"/>
        <v>2840</v>
      </c>
      <c r="I9" s="30">
        <v>0</v>
      </c>
      <c r="J9" s="31">
        <f t="shared" si="3"/>
        <v>2840</v>
      </c>
      <c r="K9" s="32">
        <f t="shared" si="2"/>
        <v>2740</v>
      </c>
    </row>
    <row r="10" spans="1:13" ht="15" x14ac:dyDescent="0.2">
      <c r="A10" s="49">
        <v>46205</v>
      </c>
      <c r="B10" s="55" t="s">
        <v>34</v>
      </c>
      <c r="C10" s="55">
        <v>50243</v>
      </c>
      <c r="D10" s="53" t="s">
        <v>23</v>
      </c>
      <c r="E10" s="28">
        <v>13</v>
      </c>
      <c r="F10" s="57">
        <v>50</v>
      </c>
      <c r="G10" s="7">
        <v>57</v>
      </c>
      <c r="H10" s="29">
        <f t="shared" si="1"/>
        <v>741</v>
      </c>
      <c r="I10" s="30">
        <v>0</v>
      </c>
      <c r="J10" s="31">
        <f t="shared" si="3"/>
        <v>741</v>
      </c>
      <c r="K10" s="32">
        <f t="shared" si="2"/>
        <v>650</v>
      </c>
    </row>
    <row r="11" spans="1:13" ht="15" x14ac:dyDescent="0.2">
      <c r="A11" s="49">
        <v>46205</v>
      </c>
      <c r="B11" s="55" t="s">
        <v>35</v>
      </c>
      <c r="C11" s="55">
        <v>50242</v>
      </c>
      <c r="D11" s="53" t="s">
        <v>22</v>
      </c>
      <c r="E11" s="28">
        <v>5</v>
      </c>
      <c r="F11" s="57">
        <v>54</v>
      </c>
      <c r="G11" s="7">
        <v>62</v>
      </c>
      <c r="H11" s="29">
        <f t="shared" si="1"/>
        <v>310</v>
      </c>
      <c r="I11" s="30">
        <v>0</v>
      </c>
      <c r="J11" s="31">
        <f t="shared" si="3"/>
        <v>310</v>
      </c>
      <c r="K11" s="32">
        <f t="shared" si="2"/>
        <v>270</v>
      </c>
    </row>
    <row r="12" spans="1:13" ht="15" x14ac:dyDescent="0.2">
      <c r="A12" s="49">
        <v>46205</v>
      </c>
      <c r="B12" s="55" t="s">
        <v>36</v>
      </c>
      <c r="C12" s="55">
        <v>50231</v>
      </c>
      <c r="D12" s="53" t="s">
        <v>40</v>
      </c>
      <c r="E12" s="28">
        <v>0.5</v>
      </c>
      <c r="F12" s="57">
        <v>54.4</v>
      </c>
      <c r="G12" s="7">
        <v>62</v>
      </c>
      <c r="H12" s="29">
        <f t="shared" si="1"/>
        <v>31</v>
      </c>
      <c r="I12" s="30">
        <v>0</v>
      </c>
      <c r="J12" s="31">
        <f t="shared" si="3"/>
        <v>31</v>
      </c>
      <c r="K12" s="32">
        <f t="shared" si="2"/>
        <v>27.2</v>
      </c>
    </row>
    <row r="13" spans="1:13" ht="15" x14ac:dyDescent="0.2">
      <c r="A13" s="49">
        <v>46205</v>
      </c>
      <c r="B13" s="55"/>
      <c r="C13" s="55">
        <v>50109</v>
      </c>
      <c r="D13" s="53" t="s">
        <v>41</v>
      </c>
      <c r="E13" s="28">
        <v>1</v>
      </c>
      <c r="F13" s="57">
        <v>46</v>
      </c>
      <c r="G13" s="7">
        <v>51</v>
      </c>
      <c r="H13" s="29">
        <f t="shared" si="1"/>
        <v>51</v>
      </c>
      <c r="I13" s="30">
        <v>0</v>
      </c>
      <c r="J13" s="31">
        <f t="shared" si="3"/>
        <v>51</v>
      </c>
      <c r="K13" s="32">
        <f t="shared" si="2"/>
        <v>46</v>
      </c>
    </row>
    <row r="14" spans="1:13" ht="15" x14ac:dyDescent="0.2">
      <c r="A14" s="49">
        <v>46207</v>
      </c>
      <c r="B14" s="55" t="s">
        <v>37</v>
      </c>
      <c r="C14" s="55">
        <v>50100</v>
      </c>
      <c r="D14" s="53" t="s">
        <v>30</v>
      </c>
      <c r="E14" s="28">
        <v>3</v>
      </c>
      <c r="F14" s="58">
        <v>1379</v>
      </c>
      <c r="G14" s="7">
        <v>1700</v>
      </c>
      <c r="H14" s="29">
        <f t="shared" si="1"/>
        <v>5100</v>
      </c>
      <c r="I14" s="30">
        <v>0</v>
      </c>
      <c r="J14" s="31">
        <f t="shared" si="3"/>
        <v>5100</v>
      </c>
      <c r="K14" s="32">
        <f t="shared" si="2"/>
        <v>4137</v>
      </c>
    </row>
    <row r="15" spans="1:13" ht="15" x14ac:dyDescent="0.2">
      <c r="A15" s="49">
        <v>46207</v>
      </c>
      <c r="B15" s="55"/>
      <c r="C15" s="55">
        <v>50016</v>
      </c>
      <c r="D15" s="53" t="s">
        <v>29</v>
      </c>
      <c r="E15" s="28">
        <v>3</v>
      </c>
      <c r="F15" s="57">
        <v>999</v>
      </c>
      <c r="G15" s="7">
        <v>1300</v>
      </c>
      <c r="H15" s="29">
        <f t="shared" si="1"/>
        <v>3900</v>
      </c>
      <c r="I15" s="30">
        <v>0</v>
      </c>
      <c r="J15" s="31">
        <f t="shared" si="3"/>
        <v>3900</v>
      </c>
      <c r="K15" s="32">
        <f t="shared" si="2"/>
        <v>2997</v>
      </c>
    </row>
    <row r="16" spans="1:13" ht="15" x14ac:dyDescent="0.2">
      <c r="A16" s="49">
        <v>46207</v>
      </c>
      <c r="B16" s="55"/>
      <c r="C16" s="55">
        <v>50242</v>
      </c>
      <c r="D16" s="53" t="s">
        <v>22</v>
      </c>
      <c r="E16" s="28">
        <v>15</v>
      </c>
      <c r="F16" s="57">
        <v>54</v>
      </c>
      <c r="G16" s="7">
        <v>62</v>
      </c>
      <c r="H16" s="29">
        <f t="shared" si="1"/>
        <v>930</v>
      </c>
      <c r="I16" s="30">
        <v>0</v>
      </c>
      <c r="J16" s="31">
        <f t="shared" si="3"/>
        <v>930</v>
      </c>
      <c r="K16" s="32">
        <f t="shared" si="2"/>
        <v>810</v>
      </c>
    </row>
    <row r="17" spans="1:14" ht="15" x14ac:dyDescent="0.2">
      <c r="A17" s="49" t="s">
        <v>117</v>
      </c>
      <c r="B17" s="55" t="s">
        <v>59</v>
      </c>
      <c r="C17" s="55">
        <v>50127</v>
      </c>
      <c r="D17" s="53" t="s">
        <v>69</v>
      </c>
      <c r="E17" s="28">
        <v>2</v>
      </c>
      <c r="F17" s="57">
        <v>52</v>
      </c>
      <c r="G17" s="7">
        <v>56</v>
      </c>
      <c r="H17" s="29">
        <f t="shared" si="1"/>
        <v>112</v>
      </c>
      <c r="I17" s="30"/>
      <c r="J17" s="31">
        <f t="shared" si="3"/>
        <v>112</v>
      </c>
      <c r="K17" s="32">
        <f t="shared" si="2"/>
        <v>104</v>
      </c>
    </row>
    <row r="18" spans="1:14" ht="15" x14ac:dyDescent="0.2">
      <c r="A18" s="49" t="s">
        <v>117</v>
      </c>
      <c r="B18" s="55"/>
      <c r="C18" s="75">
        <v>50242</v>
      </c>
      <c r="D18" s="53" t="s">
        <v>22</v>
      </c>
      <c r="E18" s="28">
        <v>28</v>
      </c>
      <c r="F18" s="57">
        <v>54</v>
      </c>
      <c r="G18" s="7">
        <v>62</v>
      </c>
      <c r="H18" s="29">
        <f t="shared" ref="H18:H33" si="4">E18*G18</f>
        <v>1736</v>
      </c>
      <c r="I18" s="30"/>
      <c r="J18" s="31">
        <f t="shared" ref="J18:J33" si="5">(G18*E18)-I18</f>
        <v>1736</v>
      </c>
      <c r="K18" s="32">
        <f t="shared" ref="K18:K33" si="6">E18*F18</f>
        <v>1512</v>
      </c>
    </row>
    <row r="19" spans="1:14" ht="15" x14ac:dyDescent="0.2">
      <c r="A19" s="49" t="s">
        <v>117</v>
      </c>
      <c r="B19" s="55"/>
      <c r="C19" s="75">
        <v>50016</v>
      </c>
      <c r="D19" s="53" t="s">
        <v>29</v>
      </c>
      <c r="E19" s="28">
        <v>2</v>
      </c>
      <c r="F19" s="57">
        <v>999</v>
      </c>
      <c r="G19" s="7">
        <v>1300</v>
      </c>
      <c r="H19" s="29">
        <f t="shared" si="4"/>
        <v>2600</v>
      </c>
      <c r="I19" s="30"/>
      <c r="J19" s="31">
        <f t="shared" si="5"/>
        <v>2600</v>
      </c>
      <c r="K19" s="32">
        <f t="shared" si="6"/>
        <v>1998</v>
      </c>
    </row>
    <row r="20" spans="1:14" ht="15" x14ac:dyDescent="0.2">
      <c r="A20" s="49" t="s">
        <v>58</v>
      </c>
      <c r="B20" s="55" t="s">
        <v>60</v>
      </c>
      <c r="C20" s="75">
        <v>50100</v>
      </c>
      <c r="D20" s="53" t="s">
        <v>30</v>
      </c>
      <c r="E20" s="28">
        <v>1</v>
      </c>
      <c r="F20" s="58">
        <v>1379</v>
      </c>
      <c r="G20" s="7">
        <v>1700</v>
      </c>
      <c r="H20" s="29">
        <f t="shared" si="4"/>
        <v>1700</v>
      </c>
      <c r="I20" s="30"/>
      <c r="J20" s="31">
        <f t="shared" si="5"/>
        <v>1700</v>
      </c>
      <c r="K20" s="32">
        <f t="shared" si="6"/>
        <v>1379</v>
      </c>
    </row>
    <row r="21" spans="1:14" ht="15" x14ac:dyDescent="0.2">
      <c r="A21" s="49" t="s">
        <v>58</v>
      </c>
      <c r="B21" s="55"/>
      <c r="C21" s="75">
        <v>50242</v>
      </c>
      <c r="D21" s="53" t="s">
        <v>22</v>
      </c>
      <c r="E21" s="28">
        <v>8</v>
      </c>
      <c r="F21" s="57">
        <v>54</v>
      </c>
      <c r="G21" s="7">
        <v>62</v>
      </c>
      <c r="H21" s="29">
        <f t="shared" si="4"/>
        <v>496</v>
      </c>
      <c r="I21" s="30"/>
      <c r="J21" s="31">
        <f t="shared" si="5"/>
        <v>496</v>
      </c>
      <c r="K21" s="32">
        <f t="shared" si="6"/>
        <v>432</v>
      </c>
    </row>
    <row r="22" spans="1:14" ht="15" x14ac:dyDescent="0.2">
      <c r="A22" s="49" t="s">
        <v>58</v>
      </c>
      <c r="B22" s="55"/>
      <c r="C22" s="75">
        <v>50127</v>
      </c>
      <c r="D22" s="53" t="s">
        <v>69</v>
      </c>
      <c r="E22" s="28">
        <v>2</v>
      </c>
      <c r="F22" s="57">
        <v>52</v>
      </c>
      <c r="G22" s="7">
        <v>56</v>
      </c>
      <c r="H22" s="29">
        <f t="shared" si="4"/>
        <v>112</v>
      </c>
      <c r="I22" s="30"/>
      <c r="J22" s="31">
        <f t="shared" si="5"/>
        <v>112</v>
      </c>
      <c r="K22" s="32">
        <f t="shared" si="6"/>
        <v>104</v>
      </c>
    </row>
    <row r="23" spans="1:14" ht="15" x14ac:dyDescent="0.2">
      <c r="A23" s="49" t="s">
        <v>58</v>
      </c>
      <c r="B23" s="55" t="s">
        <v>61</v>
      </c>
      <c r="C23" s="75">
        <v>50150</v>
      </c>
      <c r="D23" s="53" t="s">
        <v>27</v>
      </c>
      <c r="E23" s="28">
        <v>2</v>
      </c>
      <c r="F23" s="58">
        <v>1860</v>
      </c>
      <c r="G23" s="7">
        <v>2000</v>
      </c>
      <c r="H23" s="29">
        <f t="shared" si="4"/>
        <v>4000</v>
      </c>
      <c r="I23" s="30"/>
      <c r="J23" s="31">
        <f t="shared" si="5"/>
        <v>4000</v>
      </c>
      <c r="K23" s="32">
        <f t="shared" si="6"/>
        <v>3720</v>
      </c>
    </row>
    <row r="24" spans="1:14" ht="15" x14ac:dyDescent="0.2">
      <c r="A24" s="49">
        <v>46219</v>
      </c>
      <c r="B24" s="55" t="s">
        <v>62</v>
      </c>
      <c r="C24" s="75">
        <v>50200</v>
      </c>
      <c r="D24" s="53" t="s">
        <v>70</v>
      </c>
      <c r="E24" s="28">
        <v>25</v>
      </c>
      <c r="F24" s="57">
        <v>54</v>
      </c>
      <c r="G24" s="7">
        <v>59</v>
      </c>
      <c r="H24" s="29">
        <f t="shared" si="4"/>
        <v>1475</v>
      </c>
      <c r="I24" s="30"/>
      <c r="J24" s="31">
        <f t="shared" si="5"/>
        <v>1475</v>
      </c>
      <c r="K24" s="32">
        <f t="shared" si="6"/>
        <v>1350</v>
      </c>
    </row>
    <row r="25" spans="1:14" ht="15" x14ac:dyDescent="0.2">
      <c r="A25" s="49">
        <v>46220</v>
      </c>
      <c r="B25" s="55" t="s">
        <v>63</v>
      </c>
      <c r="C25" s="75">
        <v>50200</v>
      </c>
      <c r="D25" s="53" t="s">
        <v>70</v>
      </c>
      <c r="E25" s="28">
        <v>4</v>
      </c>
      <c r="F25" s="57">
        <v>54</v>
      </c>
      <c r="G25" s="7">
        <v>59</v>
      </c>
      <c r="H25" s="29">
        <f t="shared" si="4"/>
        <v>236</v>
      </c>
      <c r="I25" s="30"/>
      <c r="J25" s="31">
        <f t="shared" si="5"/>
        <v>236</v>
      </c>
      <c r="K25" s="32">
        <f t="shared" si="6"/>
        <v>216</v>
      </c>
    </row>
    <row r="26" spans="1:14" ht="15" x14ac:dyDescent="0.2">
      <c r="A26" s="49">
        <v>46221</v>
      </c>
      <c r="B26" s="55" t="s">
        <v>64</v>
      </c>
      <c r="C26" s="75">
        <v>50200</v>
      </c>
      <c r="D26" s="53" t="s">
        <v>70</v>
      </c>
      <c r="E26" s="28">
        <v>5</v>
      </c>
      <c r="F26" s="57">
        <v>54</v>
      </c>
      <c r="G26" s="7">
        <v>59</v>
      </c>
      <c r="H26" s="29">
        <f t="shared" si="4"/>
        <v>295</v>
      </c>
      <c r="I26" s="30"/>
      <c r="J26" s="31">
        <f t="shared" si="5"/>
        <v>295</v>
      </c>
      <c r="K26" s="32">
        <f t="shared" si="6"/>
        <v>270</v>
      </c>
    </row>
    <row r="27" spans="1:14" ht="15" x14ac:dyDescent="0.2">
      <c r="A27" s="49">
        <v>46221</v>
      </c>
      <c r="B27" s="55" t="s">
        <v>65</v>
      </c>
      <c r="C27" s="75">
        <v>50123</v>
      </c>
      <c r="D27" s="53" t="s">
        <v>71</v>
      </c>
      <c r="E27" s="28">
        <v>7</v>
      </c>
      <c r="F27" s="57">
        <v>50</v>
      </c>
      <c r="G27" s="7">
        <v>55</v>
      </c>
      <c r="H27" s="29">
        <f t="shared" si="4"/>
        <v>385</v>
      </c>
      <c r="I27" s="30"/>
      <c r="J27" s="31">
        <f t="shared" si="5"/>
        <v>385</v>
      </c>
      <c r="K27" s="32">
        <f t="shared" si="6"/>
        <v>350</v>
      </c>
    </row>
    <row r="28" spans="1:14" ht="15" x14ac:dyDescent="0.2">
      <c r="A28" s="49">
        <v>46221</v>
      </c>
      <c r="B28" s="55" t="s">
        <v>66</v>
      </c>
      <c r="C28" s="75">
        <v>50127</v>
      </c>
      <c r="D28" s="53" t="s">
        <v>69</v>
      </c>
      <c r="E28" s="28">
        <v>12</v>
      </c>
      <c r="F28" s="57">
        <v>52</v>
      </c>
      <c r="G28" s="7">
        <v>56</v>
      </c>
      <c r="H28" s="29">
        <f t="shared" si="4"/>
        <v>672</v>
      </c>
      <c r="I28" s="30"/>
      <c r="J28" s="31">
        <f t="shared" si="5"/>
        <v>672</v>
      </c>
      <c r="K28" s="32">
        <f t="shared" si="6"/>
        <v>624</v>
      </c>
    </row>
    <row r="29" spans="1:14" ht="15" x14ac:dyDescent="0.2">
      <c r="A29" s="49">
        <v>46222</v>
      </c>
      <c r="B29" s="55" t="s">
        <v>67</v>
      </c>
      <c r="C29" s="75">
        <v>50087</v>
      </c>
      <c r="D29" s="53" t="s">
        <v>72</v>
      </c>
      <c r="E29" s="28">
        <v>5</v>
      </c>
      <c r="F29" s="57">
        <v>52</v>
      </c>
      <c r="G29" s="7">
        <v>57</v>
      </c>
      <c r="H29" s="29">
        <f t="shared" si="4"/>
        <v>285</v>
      </c>
      <c r="I29" s="30"/>
      <c r="J29" s="31">
        <f t="shared" si="5"/>
        <v>285</v>
      </c>
      <c r="K29" s="32">
        <f t="shared" si="6"/>
        <v>260</v>
      </c>
    </row>
    <row r="30" spans="1:14" ht="15" x14ac:dyDescent="0.2">
      <c r="A30" s="49">
        <v>46224</v>
      </c>
      <c r="B30" s="55" t="s">
        <v>68</v>
      </c>
      <c r="C30" s="75">
        <v>50127</v>
      </c>
      <c r="D30" s="53" t="s">
        <v>69</v>
      </c>
      <c r="E30" s="28">
        <v>3</v>
      </c>
      <c r="F30" s="57">
        <v>52</v>
      </c>
      <c r="G30" s="7">
        <v>56</v>
      </c>
      <c r="H30" s="29">
        <f t="shared" si="4"/>
        <v>168</v>
      </c>
      <c r="I30" s="30"/>
      <c r="J30" s="31">
        <f t="shared" si="5"/>
        <v>168</v>
      </c>
      <c r="K30" s="32">
        <f t="shared" si="6"/>
        <v>156</v>
      </c>
      <c r="N30" s="54"/>
    </row>
    <row r="31" spans="1:14" ht="15" x14ac:dyDescent="0.2">
      <c r="A31" s="49">
        <v>46226</v>
      </c>
      <c r="B31" s="55" t="s">
        <v>95</v>
      </c>
      <c r="C31" s="75">
        <v>50242</v>
      </c>
      <c r="D31" s="53" t="s">
        <v>22</v>
      </c>
      <c r="E31" s="28">
        <v>18</v>
      </c>
      <c r="F31" s="57">
        <v>54</v>
      </c>
      <c r="G31" s="7">
        <v>62</v>
      </c>
      <c r="H31" s="29">
        <f t="shared" si="4"/>
        <v>1116</v>
      </c>
      <c r="I31" s="30"/>
      <c r="J31" s="31">
        <f t="shared" si="5"/>
        <v>1116</v>
      </c>
      <c r="K31" s="32">
        <f t="shared" si="6"/>
        <v>972</v>
      </c>
      <c r="N31" s="54"/>
    </row>
    <row r="32" spans="1:14" ht="15" x14ac:dyDescent="0.2">
      <c r="A32" s="49">
        <v>46226</v>
      </c>
      <c r="B32" s="55"/>
      <c r="C32" s="75">
        <v>50248</v>
      </c>
      <c r="D32" s="53" t="s">
        <v>96</v>
      </c>
      <c r="E32" s="28">
        <v>13</v>
      </c>
      <c r="F32" s="57">
        <v>58</v>
      </c>
      <c r="G32" s="7">
        <v>63</v>
      </c>
      <c r="H32" s="29">
        <f t="shared" si="4"/>
        <v>819</v>
      </c>
      <c r="I32" s="30"/>
      <c r="J32" s="31">
        <f t="shared" si="5"/>
        <v>819</v>
      </c>
      <c r="K32" s="32">
        <f t="shared" si="6"/>
        <v>754</v>
      </c>
      <c r="N32" s="54"/>
    </row>
    <row r="33" spans="1:14" ht="15" x14ac:dyDescent="0.2">
      <c r="A33" s="49">
        <v>46229</v>
      </c>
      <c r="B33" s="55" t="s">
        <v>102</v>
      </c>
      <c r="C33" s="75">
        <v>50200</v>
      </c>
      <c r="D33" s="53" t="s">
        <v>70</v>
      </c>
      <c r="E33" s="28">
        <v>10</v>
      </c>
      <c r="F33" s="57">
        <v>54</v>
      </c>
      <c r="G33" s="7">
        <v>59</v>
      </c>
      <c r="H33" s="29">
        <f t="shared" si="4"/>
        <v>590</v>
      </c>
      <c r="I33" s="30"/>
      <c r="J33" s="31">
        <f t="shared" si="5"/>
        <v>590</v>
      </c>
      <c r="K33" s="32">
        <f t="shared" si="6"/>
        <v>540</v>
      </c>
      <c r="N33" s="54"/>
    </row>
    <row r="34" spans="1:14" ht="15" x14ac:dyDescent="0.2">
      <c r="A34" s="49">
        <v>46232</v>
      </c>
      <c r="B34" s="55" t="s">
        <v>105</v>
      </c>
      <c r="C34" s="75">
        <v>50016</v>
      </c>
      <c r="D34" s="53" t="s">
        <v>29</v>
      </c>
      <c r="E34" s="28">
        <v>1</v>
      </c>
      <c r="F34" s="57">
        <v>999</v>
      </c>
      <c r="G34" s="7">
        <v>1300</v>
      </c>
      <c r="H34" s="29">
        <f t="shared" ref="H34:H54" si="7">E34*G34</f>
        <v>1300</v>
      </c>
      <c r="I34" s="30"/>
      <c r="J34" s="31">
        <f t="shared" ref="J34:J54" si="8">(G34*E34)-I34</f>
        <v>1300</v>
      </c>
      <c r="K34" s="32">
        <f t="shared" ref="K34:K54" si="9">E34*F34</f>
        <v>999</v>
      </c>
      <c r="N34" s="54"/>
    </row>
    <row r="35" spans="1:14" ht="15" x14ac:dyDescent="0.2">
      <c r="A35" s="49" t="s">
        <v>118</v>
      </c>
      <c r="B35" s="55" t="s">
        <v>106</v>
      </c>
      <c r="C35" s="75">
        <v>50069</v>
      </c>
      <c r="D35" s="53" t="s">
        <v>115</v>
      </c>
      <c r="E35" s="28">
        <v>1</v>
      </c>
      <c r="F35" s="58">
        <v>1192</v>
      </c>
      <c r="G35" s="7">
        <v>1300</v>
      </c>
      <c r="H35" s="29">
        <f t="shared" si="7"/>
        <v>1300</v>
      </c>
      <c r="I35" s="30"/>
      <c r="J35" s="31">
        <f t="shared" si="8"/>
        <v>1300</v>
      </c>
      <c r="K35" s="32">
        <f t="shared" si="9"/>
        <v>1192</v>
      </c>
      <c r="N35" s="54"/>
    </row>
    <row r="36" spans="1:14" ht="15" x14ac:dyDescent="0.2">
      <c r="A36" s="49">
        <v>46233</v>
      </c>
      <c r="B36" s="55" t="s">
        <v>107</v>
      </c>
      <c r="C36" s="75">
        <v>50248</v>
      </c>
      <c r="D36" s="53" t="s">
        <v>96</v>
      </c>
      <c r="E36" s="28">
        <v>25</v>
      </c>
      <c r="F36" s="57">
        <v>58</v>
      </c>
      <c r="G36" s="7">
        <v>63</v>
      </c>
      <c r="H36" s="29">
        <f t="shared" si="7"/>
        <v>1575</v>
      </c>
      <c r="I36" s="30"/>
      <c r="J36" s="31">
        <f t="shared" si="8"/>
        <v>1575</v>
      </c>
      <c r="K36" s="32">
        <f t="shared" si="9"/>
        <v>1450</v>
      </c>
      <c r="N36" s="54"/>
    </row>
    <row r="37" spans="1:14" ht="15" x14ac:dyDescent="0.2">
      <c r="A37" s="49">
        <v>46233</v>
      </c>
      <c r="B37" s="55" t="s">
        <v>108</v>
      </c>
      <c r="C37" s="75">
        <v>50069</v>
      </c>
      <c r="D37" s="53" t="s">
        <v>115</v>
      </c>
      <c r="E37" s="28">
        <v>1</v>
      </c>
      <c r="F37" s="58">
        <v>1192</v>
      </c>
      <c r="G37" s="7">
        <v>1300</v>
      </c>
      <c r="H37" s="29">
        <f t="shared" si="7"/>
        <v>1300</v>
      </c>
      <c r="I37" s="30"/>
      <c r="J37" s="31">
        <f t="shared" si="8"/>
        <v>1300</v>
      </c>
      <c r="K37" s="32">
        <f t="shared" si="9"/>
        <v>1192</v>
      </c>
      <c r="N37" s="54"/>
    </row>
    <row r="38" spans="1:14" ht="15" x14ac:dyDescent="0.2">
      <c r="A38" s="49">
        <v>46234</v>
      </c>
      <c r="B38" s="55" t="s">
        <v>109</v>
      </c>
      <c r="C38" s="75">
        <v>50123</v>
      </c>
      <c r="D38" s="53" t="s">
        <v>71</v>
      </c>
      <c r="E38" s="28">
        <v>5</v>
      </c>
      <c r="F38" s="57">
        <v>50</v>
      </c>
      <c r="G38" s="7">
        <v>55</v>
      </c>
      <c r="H38" s="29">
        <f t="shared" si="7"/>
        <v>275</v>
      </c>
      <c r="I38" s="30"/>
      <c r="J38" s="31">
        <f t="shared" si="8"/>
        <v>275</v>
      </c>
      <c r="K38" s="32">
        <f t="shared" si="9"/>
        <v>250</v>
      </c>
      <c r="N38" s="54"/>
    </row>
    <row r="39" spans="1:14" ht="15" x14ac:dyDescent="0.2">
      <c r="A39" s="49">
        <v>46234</v>
      </c>
      <c r="B39" s="55"/>
      <c r="C39" s="75">
        <v>50249</v>
      </c>
      <c r="D39" s="53" t="s">
        <v>116</v>
      </c>
      <c r="E39" s="28">
        <v>7</v>
      </c>
      <c r="F39" s="57">
        <v>52</v>
      </c>
      <c r="G39" s="7">
        <v>57</v>
      </c>
      <c r="H39" s="29">
        <f t="shared" si="7"/>
        <v>399</v>
      </c>
      <c r="I39" s="30"/>
      <c r="J39" s="31">
        <f t="shared" si="8"/>
        <v>399</v>
      </c>
      <c r="K39" s="32">
        <f t="shared" si="9"/>
        <v>364</v>
      </c>
      <c r="N39" s="54"/>
    </row>
    <row r="40" spans="1:14" ht="15" x14ac:dyDescent="0.2">
      <c r="A40" s="49">
        <v>46234</v>
      </c>
      <c r="B40" s="55"/>
      <c r="C40" s="75">
        <v>50200</v>
      </c>
      <c r="D40" s="53" t="s">
        <v>70</v>
      </c>
      <c r="E40" s="28">
        <v>6</v>
      </c>
      <c r="F40" s="57">
        <v>54</v>
      </c>
      <c r="G40" s="7">
        <v>59</v>
      </c>
      <c r="H40" s="29">
        <f t="shared" si="7"/>
        <v>354</v>
      </c>
      <c r="I40" s="30"/>
      <c r="J40" s="31">
        <f t="shared" si="8"/>
        <v>354</v>
      </c>
      <c r="K40" s="32">
        <f t="shared" si="9"/>
        <v>324</v>
      </c>
      <c r="N40" s="54"/>
    </row>
    <row r="41" spans="1:14" ht="15" x14ac:dyDescent="0.2">
      <c r="A41" s="49">
        <v>46234</v>
      </c>
      <c r="B41" s="55"/>
      <c r="C41" s="75">
        <v>50248</v>
      </c>
      <c r="D41" s="53" t="s">
        <v>96</v>
      </c>
      <c r="E41" s="28">
        <v>12</v>
      </c>
      <c r="F41" s="57">
        <v>58</v>
      </c>
      <c r="G41" s="7">
        <v>63</v>
      </c>
      <c r="H41" s="29">
        <f t="shared" si="7"/>
        <v>756</v>
      </c>
      <c r="I41" s="30"/>
      <c r="J41" s="31">
        <f t="shared" si="8"/>
        <v>756</v>
      </c>
      <c r="K41" s="32">
        <f t="shared" si="9"/>
        <v>696</v>
      </c>
      <c r="N41" s="54"/>
    </row>
    <row r="42" spans="1:14" ht="15" x14ac:dyDescent="0.2">
      <c r="A42" s="49">
        <v>46234</v>
      </c>
      <c r="B42" s="55"/>
      <c r="C42" s="75">
        <v>50069</v>
      </c>
      <c r="D42" s="53" t="s">
        <v>115</v>
      </c>
      <c r="E42" s="28">
        <v>2</v>
      </c>
      <c r="F42" s="58">
        <v>1192</v>
      </c>
      <c r="G42" s="7">
        <v>1300</v>
      </c>
      <c r="H42" s="29">
        <f t="shared" si="7"/>
        <v>2600</v>
      </c>
      <c r="I42" s="30"/>
      <c r="J42" s="31">
        <f t="shared" si="8"/>
        <v>2600</v>
      </c>
      <c r="K42" s="32">
        <f t="shared" si="9"/>
        <v>2384</v>
      </c>
      <c r="N42" s="54"/>
    </row>
    <row r="43" spans="1:14" ht="15" x14ac:dyDescent="0.2">
      <c r="A43" s="49">
        <v>46234</v>
      </c>
      <c r="B43" s="55" t="s">
        <v>110</v>
      </c>
      <c r="C43" s="75">
        <v>50248</v>
      </c>
      <c r="D43" s="53" t="s">
        <v>96</v>
      </c>
      <c r="E43" s="28">
        <v>25</v>
      </c>
      <c r="F43" s="57">
        <v>58</v>
      </c>
      <c r="G43" s="7">
        <v>63</v>
      </c>
      <c r="H43" s="29">
        <f t="shared" si="7"/>
        <v>1575</v>
      </c>
      <c r="I43" s="30"/>
      <c r="J43" s="31">
        <f t="shared" si="8"/>
        <v>1575</v>
      </c>
      <c r="K43" s="32">
        <f t="shared" si="9"/>
        <v>1450</v>
      </c>
      <c r="N43" s="54"/>
    </row>
    <row r="44" spans="1:14" ht="15" x14ac:dyDescent="0.2">
      <c r="A44" s="49">
        <v>46234</v>
      </c>
      <c r="B44" s="55" t="s">
        <v>111</v>
      </c>
      <c r="C44" s="75">
        <v>50127</v>
      </c>
      <c r="D44" s="53" t="s">
        <v>69</v>
      </c>
      <c r="E44" s="28">
        <v>13</v>
      </c>
      <c r="F44" s="57">
        <v>52</v>
      </c>
      <c r="G44" s="7">
        <v>56</v>
      </c>
      <c r="H44" s="29">
        <f t="shared" si="7"/>
        <v>728</v>
      </c>
      <c r="I44" s="30"/>
      <c r="J44" s="31">
        <f t="shared" si="8"/>
        <v>728</v>
      </c>
      <c r="K44" s="32">
        <f t="shared" si="9"/>
        <v>676</v>
      </c>
      <c r="N44" s="54"/>
    </row>
    <row r="45" spans="1:14" ht="15" x14ac:dyDescent="0.2">
      <c r="A45" s="49">
        <v>46234</v>
      </c>
      <c r="B45" s="55" t="s">
        <v>112</v>
      </c>
      <c r="C45" s="75">
        <v>50150</v>
      </c>
      <c r="D45" s="53" t="s">
        <v>27</v>
      </c>
      <c r="E45" s="28">
        <v>3</v>
      </c>
      <c r="F45" s="58">
        <v>1860</v>
      </c>
      <c r="G45" s="7">
        <v>2000</v>
      </c>
      <c r="H45" s="29">
        <f t="shared" si="7"/>
        <v>6000</v>
      </c>
      <c r="I45" s="30"/>
      <c r="J45" s="31">
        <f t="shared" si="8"/>
        <v>6000</v>
      </c>
      <c r="K45" s="32">
        <f t="shared" si="9"/>
        <v>5580</v>
      </c>
      <c r="N45" s="54"/>
    </row>
    <row r="46" spans="1:14" ht="15" x14ac:dyDescent="0.2">
      <c r="A46" s="49">
        <v>46234</v>
      </c>
      <c r="B46" s="55" t="s">
        <v>113</v>
      </c>
      <c r="C46" s="75">
        <v>50123</v>
      </c>
      <c r="D46" s="53" t="s">
        <v>71</v>
      </c>
      <c r="E46" s="28">
        <v>2</v>
      </c>
      <c r="F46" s="57">
        <v>50</v>
      </c>
      <c r="G46" s="7">
        <v>55</v>
      </c>
      <c r="H46" s="29">
        <f t="shared" si="7"/>
        <v>110</v>
      </c>
      <c r="I46" s="30"/>
      <c r="J46" s="31">
        <f t="shared" si="8"/>
        <v>110</v>
      </c>
      <c r="K46" s="32">
        <f t="shared" si="9"/>
        <v>100</v>
      </c>
      <c r="N46" s="54"/>
    </row>
    <row r="47" spans="1:14" ht="15" x14ac:dyDescent="0.2">
      <c r="A47" s="49">
        <v>46234</v>
      </c>
      <c r="B47" s="55"/>
      <c r="C47" s="75">
        <v>50249</v>
      </c>
      <c r="D47" s="53" t="s">
        <v>116</v>
      </c>
      <c r="E47" s="28">
        <v>1</v>
      </c>
      <c r="F47" s="57">
        <v>52</v>
      </c>
      <c r="G47" s="7">
        <v>57</v>
      </c>
      <c r="H47" s="29">
        <f t="shared" si="7"/>
        <v>57</v>
      </c>
      <c r="I47" s="30"/>
      <c r="J47" s="31">
        <f t="shared" si="8"/>
        <v>57</v>
      </c>
      <c r="K47" s="32">
        <f t="shared" si="9"/>
        <v>52</v>
      </c>
      <c r="N47" s="54"/>
    </row>
    <row r="48" spans="1:14" ht="15" x14ac:dyDescent="0.2">
      <c r="A48" s="49">
        <v>46234</v>
      </c>
      <c r="B48" s="55"/>
      <c r="C48" s="75">
        <v>50243</v>
      </c>
      <c r="D48" s="53" t="s">
        <v>23</v>
      </c>
      <c r="E48" s="28">
        <v>1</v>
      </c>
      <c r="F48" s="57">
        <v>50</v>
      </c>
      <c r="G48" s="7">
        <v>57</v>
      </c>
      <c r="H48" s="29">
        <f t="shared" si="7"/>
        <v>57</v>
      </c>
      <c r="I48" s="30"/>
      <c r="J48" s="31">
        <f t="shared" si="8"/>
        <v>57</v>
      </c>
      <c r="K48" s="32">
        <f t="shared" si="9"/>
        <v>50</v>
      </c>
      <c r="N48" s="54"/>
    </row>
    <row r="49" spans="1:14" ht="15" x14ac:dyDescent="0.2">
      <c r="A49" s="49">
        <v>46234</v>
      </c>
      <c r="B49" s="55" t="s">
        <v>114</v>
      </c>
      <c r="C49" s="75">
        <v>50123</v>
      </c>
      <c r="D49" s="53" t="s">
        <v>71</v>
      </c>
      <c r="E49" s="28">
        <v>10</v>
      </c>
      <c r="F49" s="57">
        <v>50</v>
      </c>
      <c r="G49" s="7">
        <v>55</v>
      </c>
      <c r="H49" s="29">
        <f t="shared" si="7"/>
        <v>550</v>
      </c>
      <c r="I49" s="30"/>
      <c r="J49" s="31">
        <f t="shared" si="8"/>
        <v>550</v>
      </c>
      <c r="K49" s="32">
        <f t="shared" si="9"/>
        <v>500</v>
      </c>
      <c r="N49" s="54"/>
    </row>
    <row r="50" spans="1:14" ht="15" x14ac:dyDescent="0.2">
      <c r="A50" s="49"/>
      <c r="B50" s="55"/>
      <c r="C50" s="76"/>
      <c r="D50" s="53"/>
      <c r="E50" s="28"/>
      <c r="F50" s="57"/>
      <c r="G50" s="56"/>
      <c r="H50" s="29">
        <f t="shared" si="7"/>
        <v>0</v>
      </c>
      <c r="I50" s="30"/>
      <c r="J50" s="31">
        <f t="shared" si="8"/>
        <v>0</v>
      </c>
      <c r="K50" s="32">
        <f t="shared" si="9"/>
        <v>0</v>
      </c>
      <c r="N50" s="54"/>
    </row>
    <row r="51" spans="1:14" ht="15" x14ac:dyDescent="0.2">
      <c r="A51" s="49"/>
      <c r="B51" s="55"/>
      <c r="C51" s="76"/>
      <c r="D51" s="53"/>
      <c r="E51" s="28"/>
      <c r="F51" s="57"/>
      <c r="G51" s="56"/>
      <c r="H51" s="29">
        <f t="shared" si="7"/>
        <v>0</v>
      </c>
      <c r="I51" s="30"/>
      <c r="J51" s="31">
        <f t="shared" si="8"/>
        <v>0</v>
      </c>
      <c r="K51" s="32">
        <f t="shared" si="9"/>
        <v>0</v>
      </c>
      <c r="N51" s="54"/>
    </row>
    <row r="52" spans="1:14" ht="15" x14ac:dyDescent="0.2">
      <c r="A52" s="49"/>
      <c r="B52" s="55"/>
      <c r="C52" s="76"/>
      <c r="D52" s="53"/>
      <c r="E52" s="28"/>
      <c r="F52" s="57"/>
      <c r="G52" s="56"/>
      <c r="H52" s="29">
        <f t="shared" si="7"/>
        <v>0</v>
      </c>
      <c r="I52" s="30"/>
      <c r="J52" s="31">
        <f t="shared" si="8"/>
        <v>0</v>
      </c>
      <c r="K52" s="32">
        <f t="shared" si="9"/>
        <v>0</v>
      </c>
      <c r="N52" s="54"/>
    </row>
    <row r="53" spans="1:14" ht="15" x14ac:dyDescent="0.2">
      <c r="A53" s="49"/>
      <c r="B53" s="55"/>
      <c r="C53" s="76"/>
      <c r="D53" s="53"/>
      <c r="E53" s="28"/>
      <c r="F53" s="57"/>
      <c r="G53" s="56"/>
      <c r="H53" s="29">
        <f t="shared" si="7"/>
        <v>0</v>
      </c>
      <c r="I53" s="30"/>
      <c r="J53" s="31">
        <f t="shared" si="8"/>
        <v>0</v>
      </c>
      <c r="K53" s="32">
        <f t="shared" si="9"/>
        <v>0</v>
      </c>
      <c r="N53" s="54"/>
    </row>
    <row r="54" spans="1:14" ht="15.75" thickBot="1" x14ac:dyDescent="0.25">
      <c r="A54" s="49"/>
      <c r="B54" s="50"/>
      <c r="C54" s="76"/>
      <c r="D54" s="77"/>
      <c r="E54" s="28"/>
      <c r="F54" s="6"/>
      <c r="G54" s="7"/>
      <c r="H54" s="29">
        <f t="shared" si="7"/>
        <v>0</v>
      </c>
      <c r="I54" s="30"/>
      <c r="J54" s="31">
        <f t="shared" si="8"/>
        <v>0</v>
      </c>
      <c r="K54" s="32">
        <f t="shared" si="9"/>
        <v>0</v>
      </c>
    </row>
    <row r="55" spans="1:14" ht="13.5" thickBot="1" x14ac:dyDescent="0.25">
      <c r="A55" s="78"/>
      <c r="B55" s="79"/>
      <c r="C55" s="80"/>
      <c r="D55" s="81"/>
      <c r="E55" s="39">
        <f>SUM(E6:E54)</f>
        <v>307.5</v>
      </c>
      <c r="F55" s="39">
        <f>SUM(F6:F54)</f>
        <v>22139.4</v>
      </c>
      <c r="G55" s="39">
        <f>SUM(G6:G54)</f>
        <v>25075</v>
      </c>
      <c r="H55" s="40">
        <f>SUM(H6:H54)</f>
        <v>56336</v>
      </c>
      <c r="I55" s="39">
        <f t="shared" ref="I55:K55" si="10">SUM(I6:I54)</f>
        <v>0</v>
      </c>
      <c r="J55" s="40">
        <f>SUM(J6:J54)</f>
        <v>56336</v>
      </c>
      <c r="K55" s="40">
        <f t="shared" si="10"/>
        <v>49807.199999999997</v>
      </c>
    </row>
    <row r="56" spans="1:14" x14ac:dyDescent="0.2">
      <c r="I56" s="2" t="s">
        <v>15</v>
      </c>
      <c r="J56" s="2">
        <v>56336</v>
      </c>
    </row>
    <row r="57" spans="1:14" x14ac:dyDescent="0.2">
      <c r="I57" s="2" t="s">
        <v>11</v>
      </c>
      <c r="J57" s="2">
        <f>J55-J56</f>
        <v>0</v>
      </c>
    </row>
    <row r="58" spans="1:14" x14ac:dyDescent="0.2">
      <c r="F58" s="1"/>
    </row>
    <row r="59" spans="1:14" ht="15" hidden="1" x14ac:dyDescent="0.25">
      <c r="C59" s="83" t="s">
        <v>25</v>
      </c>
      <c r="D59" s="84" t="s">
        <v>24</v>
      </c>
      <c r="I59" s="42"/>
      <c r="J59" s="43"/>
    </row>
    <row r="60" spans="1:14" ht="15" hidden="1" x14ac:dyDescent="0.25">
      <c r="D60" s="85" t="s">
        <v>26</v>
      </c>
      <c r="J60" s="43"/>
    </row>
    <row r="61" spans="1:14" ht="15" hidden="1" x14ac:dyDescent="0.25">
      <c r="F61" s="43"/>
      <c r="J61" s="43"/>
    </row>
    <row r="62" spans="1:14" ht="15" hidden="1" x14ac:dyDescent="0.25">
      <c r="D62" s="85" t="s">
        <v>12</v>
      </c>
      <c r="E62" s="1">
        <v>0</v>
      </c>
      <c r="F62" s="18"/>
      <c r="J62" s="43"/>
    </row>
    <row r="63" spans="1:14" ht="15" hidden="1" x14ac:dyDescent="0.25">
      <c r="D63" s="85" t="s">
        <v>16</v>
      </c>
      <c r="F63" s="43">
        <v>0</v>
      </c>
      <c r="G63" s="44"/>
      <c r="J63" s="43"/>
    </row>
    <row r="64" spans="1:14" ht="15" hidden="1" x14ac:dyDescent="0.25">
      <c r="D64" s="85"/>
      <c r="F64" s="43"/>
      <c r="G64" s="1"/>
      <c r="H64" s="2"/>
      <c r="I64" s="43"/>
      <c r="J64" s="43"/>
    </row>
    <row r="65" spans="5:10" ht="15" hidden="1" x14ac:dyDescent="0.25">
      <c r="G65" s="65"/>
      <c r="I65" s="42"/>
      <c r="J65" s="43"/>
    </row>
    <row r="66" spans="5:10" ht="15" hidden="1" x14ac:dyDescent="0.25">
      <c r="F66" s="86"/>
      <c r="G66" s="86"/>
      <c r="I66" s="42"/>
      <c r="J66" s="43"/>
    </row>
    <row r="67" spans="5:10" ht="15" x14ac:dyDescent="0.25">
      <c r="I67" s="42"/>
      <c r="J67" s="43"/>
    </row>
    <row r="68" spans="5:10" ht="15" x14ac:dyDescent="0.25">
      <c r="I68" s="42"/>
      <c r="J68" s="43"/>
    </row>
    <row r="69" spans="5:10" ht="15" x14ac:dyDescent="0.25">
      <c r="E69" s="52"/>
      <c r="F69" s="52"/>
      <c r="I69" s="43"/>
      <c r="J69" s="43"/>
    </row>
    <row r="70" spans="5:10" ht="15" x14ac:dyDescent="0.25">
      <c r="I70" s="42"/>
      <c r="J70" s="43"/>
    </row>
    <row r="71" spans="5:10" ht="15" x14ac:dyDescent="0.25">
      <c r="I71" s="42"/>
      <c r="J71" s="43"/>
    </row>
    <row r="72" spans="5:10" ht="15" x14ac:dyDescent="0.25">
      <c r="I72" s="42"/>
      <c r="J72" s="43"/>
    </row>
    <row r="73" spans="5:10" ht="15" x14ac:dyDescent="0.25">
      <c r="I73" s="42"/>
      <c r="J73" s="43"/>
    </row>
    <row r="74" spans="5:10" ht="15" x14ac:dyDescent="0.25">
      <c r="I74" s="42"/>
      <c r="J74" s="43"/>
    </row>
    <row r="75" spans="5:10" ht="15" x14ac:dyDescent="0.25">
      <c r="I75" s="42"/>
      <c r="J75" s="43"/>
    </row>
    <row r="76" spans="5:10" ht="15" x14ac:dyDescent="0.25">
      <c r="I76" s="43"/>
      <c r="J76" s="45"/>
    </row>
    <row r="78" spans="5:10" x14ac:dyDescent="0.2">
      <c r="J78" s="46"/>
    </row>
    <row r="79" spans="5:10" ht="15" customHeight="1" x14ac:dyDescent="0.2"/>
    <row r="80" spans="5:10" ht="15" customHeight="1" x14ac:dyDescent="0.2"/>
    <row r="81" spans="5:7" ht="15" customHeight="1" x14ac:dyDescent="0.2"/>
    <row r="82" spans="5:7" ht="15" customHeight="1" x14ac:dyDescent="0.2"/>
    <row r="83" spans="5:7" ht="15" customHeight="1" x14ac:dyDescent="0.2"/>
    <row r="84" spans="5:7" ht="15" customHeight="1" x14ac:dyDescent="0.2"/>
    <row r="85" spans="5:7" ht="15" customHeight="1" x14ac:dyDescent="0.2"/>
    <row r="86" spans="5:7" ht="15" customHeight="1" x14ac:dyDescent="0.2"/>
    <row r="87" spans="5:7" ht="15" customHeight="1" x14ac:dyDescent="0.2"/>
    <row r="88" spans="5:7" ht="15" customHeight="1" x14ac:dyDescent="0.2"/>
    <row r="89" spans="5:7" ht="15" customHeight="1" x14ac:dyDescent="0.2"/>
    <row r="90" spans="5:7" x14ac:dyDescent="0.2">
      <c r="F90" s="1"/>
    </row>
    <row r="91" spans="5:7" x14ac:dyDescent="0.2">
      <c r="E91" s="65"/>
      <c r="F91" s="1"/>
    </row>
    <row r="92" spans="5:7" x14ac:dyDescent="0.2">
      <c r="E92" s="52"/>
      <c r="F92" s="2"/>
      <c r="G92" s="2"/>
    </row>
    <row r="93" spans="5:7" x14ac:dyDescent="0.2">
      <c r="E93" s="65"/>
      <c r="F93" s="1"/>
    </row>
    <row r="94" spans="5:7" x14ac:dyDescent="0.2">
      <c r="F94" s="1"/>
      <c r="G94" s="1"/>
    </row>
    <row r="95" spans="5:7" ht="15" customHeight="1" x14ac:dyDescent="0.2"/>
    <row r="96" spans="5:7" x14ac:dyDescent="0.2">
      <c r="F96" s="1"/>
    </row>
    <row r="97" spans="5:8" ht="15" customHeight="1" x14ac:dyDescent="0.2"/>
    <row r="98" spans="5:8" x14ac:dyDescent="0.2">
      <c r="E98" s="52"/>
      <c r="F98" s="2"/>
      <c r="G98" s="52"/>
      <c r="H98" s="52"/>
    </row>
    <row r="99" spans="5:8" x14ac:dyDescent="0.2">
      <c r="E99" s="52"/>
      <c r="F99" s="52"/>
      <c r="G99" s="54"/>
      <c r="H99" s="2"/>
    </row>
    <row r="100" spans="5:8" x14ac:dyDescent="0.2">
      <c r="E100" s="52"/>
      <c r="F100" s="52"/>
      <c r="G100" s="52"/>
      <c r="H100" s="2"/>
    </row>
    <row r="101" spans="5:8" x14ac:dyDescent="0.2">
      <c r="E101" s="52"/>
      <c r="F101" s="52"/>
      <c r="G101" s="52"/>
      <c r="H101" s="2"/>
    </row>
    <row r="102" spans="5:8" x14ac:dyDescent="0.2">
      <c r="E102" s="52"/>
      <c r="F102" s="54"/>
      <c r="G102" s="52"/>
      <c r="H102" s="52"/>
    </row>
    <row r="103" spans="5:8" x14ac:dyDescent="0.2">
      <c r="E103" s="52"/>
      <c r="F103" s="52"/>
      <c r="G103" s="52"/>
      <c r="H103" s="52"/>
    </row>
    <row r="104" spans="5:8" ht="15" customHeight="1" x14ac:dyDescent="0.2"/>
    <row r="105" spans="5:8" ht="15" customHeight="1" x14ac:dyDescent="0.2"/>
    <row r="106" spans="5:8" ht="15" customHeight="1" x14ac:dyDescent="0.2"/>
    <row r="107" spans="5:8" ht="15" customHeight="1" x14ac:dyDescent="0.2"/>
    <row r="108" spans="5:8" ht="15" customHeight="1" x14ac:dyDescent="0.2"/>
    <row r="109" spans="5:8" ht="15" customHeight="1" x14ac:dyDescent="0.2"/>
    <row r="110" spans="5:8" ht="15" customHeight="1" x14ac:dyDescent="0.2"/>
    <row r="111" spans="5:8" ht="15" customHeight="1" x14ac:dyDescent="0.2"/>
    <row r="112" spans="5:8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  <row r="501" ht="15" customHeight="1" x14ac:dyDescent="0.2"/>
    <row r="502" ht="15" customHeight="1" x14ac:dyDescent="0.2"/>
    <row r="519" ht="15" customHeight="1" x14ac:dyDescent="0.2"/>
    <row r="520" ht="15" customHeight="1" x14ac:dyDescent="0.2"/>
    <row r="521" ht="15" customHeight="1" x14ac:dyDescent="0.2"/>
    <row r="522" ht="15" customHeight="1" x14ac:dyDescent="0.2"/>
    <row r="523" ht="15" customHeight="1" x14ac:dyDescent="0.2"/>
    <row r="524" ht="15" customHeight="1" x14ac:dyDescent="0.2"/>
    <row r="525" ht="15" customHeight="1" x14ac:dyDescent="0.2"/>
    <row r="526" ht="15" customHeight="1" x14ac:dyDescent="0.2"/>
    <row r="527" ht="15" customHeight="1" x14ac:dyDescent="0.2"/>
    <row r="528" ht="15" customHeight="1" x14ac:dyDescent="0.2"/>
    <row r="529" ht="15" customHeight="1" x14ac:dyDescent="0.2"/>
    <row r="530" ht="15" customHeight="1" x14ac:dyDescent="0.2"/>
    <row r="531" ht="15" customHeight="1" x14ac:dyDescent="0.2"/>
    <row r="532" ht="15" customHeight="1" x14ac:dyDescent="0.2"/>
    <row r="533" ht="15" customHeight="1" x14ac:dyDescent="0.2"/>
    <row r="534" ht="15" customHeight="1" x14ac:dyDescent="0.2"/>
    <row r="535" ht="15" customHeight="1" x14ac:dyDescent="0.2"/>
    <row r="536" ht="15" customHeight="1" x14ac:dyDescent="0.2"/>
    <row r="537" ht="15" customHeight="1" x14ac:dyDescent="0.2"/>
    <row r="538" ht="15" customHeight="1" x14ac:dyDescent="0.2"/>
    <row r="539" ht="15" customHeight="1" x14ac:dyDescent="0.2"/>
    <row r="540" ht="15" customHeight="1" x14ac:dyDescent="0.2"/>
    <row r="541" ht="15" customHeight="1" x14ac:dyDescent="0.2"/>
    <row r="542" ht="15" customHeight="1" x14ac:dyDescent="0.2"/>
    <row r="543" ht="15" customHeight="1" x14ac:dyDescent="0.2"/>
    <row r="544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</sheetData>
  <autoFilter ref="A5:O57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N1225"/>
  <sheetViews>
    <sheetView tabSelected="1" topLeftCell="A28" workbookViewId="0">
      <selection activeCell="E43" sqref="E43"/>
    </sheetView>
  </sheetViews>
  <sheetFormatPr defaultColWidth="9.140625" defaultRowHeight="12.75" x14ac:dyDescent="0.2"/>
  <cols>
    <col min="1" max="1" width="12" style="16" customWidth="1"/>
    <col min="2" max="2" width="14.5703125" style="8" customWidth="1"/>
    <col min="3" max="3" width="14.140625" style="10" customWidth="1"/>
    <col min="4" max="4" width="36.140625" style="10" customWidth="1"/>
    <col min="5" max="5" width="13" style="1" customWidth="1"/>
    <col min="6" max="6" width="14" style="61" customWidth="1"/>
    <col min="7" max="7" width="12.42578125" style="18" customWidth="1"/>
    <col min="8" max="8" width="14" style="1" customWidth="1"/>
    <col min="9" max="9" width="19.5703125" style="2" customWidth="1"/>
    <col min="10" max="10" width="16" style="2" customWidth="1"/>
    <col min="11" max="11" width="14.140625" style="2" bestFit="1" customWidth="1"/>
    <col min="12" max="13" width="11" style="2" bestFit="1" customWidth="1"/>
    <col min="14" max="16384" width="9.140625" style="10"/>
  </cols>
  <sheetData>
    <row r="1" spans="1:13" x14ac:dyDescent="0.2">
      <c r="A1" s="17" t="s">
        <v>0</v>
      </c>
    </row>
    <row r="2" spans="1:13" x14ac:dyDescent="0.2">
      <c r="A2" s="17" t="s">
        <v>20</v>
      </c>
      <c r="D2" s="11"/>
    </row>
    <row r="3" spans="1:13" ht="13.5" thickBot="1" x14ac:dyDescent="0.25">
      <c r="A3" s="19" t="s">
        <v>31</v>
      </c>
      <c r="E3" s="10"/>
      <c r="H3" s="10"/>
      <c r="I3" s="10"/>
    </row>
    <row r="4" spans="1:13" ht="13.5" thickBot="1" x14ac:dyDescent="0.25">
      <c r="A4" s="12"/>
      <c r="D4" s="10" t="s">
        <v>13</v>
      </c>
      <c r="E4" s="20">
        <f t="shared" ref="E4:J4" si="0">E76</f>
        <v>2912</v>
      </c>
      <c r="F4" s="20">
        <f t="shared" si="0"/>
        <v>827.99999999999977</v>
      </c>
      <c r="G4" s="20">
        <f t="shared" si="0"/>
        <v>1408</v>
      </c>
      <c r="H4" s="20">
        <f t="shared" si="0"/>
        <v>25460</v>
      </c>
      <c r="I4" s="20">
        <f t="shared" si="0"/>
        <v>1495</v>
      </c>
      <c r="J4" s="20">
        <f t="shared" si="0"/>
        <v>23965</v>
      </c>
    </row>
    <row r="5" spans="1:13" s="15" customFormat="1" ht="13.5" thickBot="1" x14ac:dyDescent="0.25">
      <c r="A5" s="13" t="s">
        <v>1</v>
      </c>
      <c r="B5" s="14" t="s">
        <v>2</v>
      </c>
      <c r="C5" s="21" t="s">
        <v>3</v>
      </c>
      <c r="D5" s="22" t="s">
        <v>4</v>
      </c>
      <c r="E5" s="23" t="s">
        <v>5</v>
      </c>
      <c r="F5" s="63" t="s">
        <v>6</v>
      </c>
      <c r="G5" s="3" t="s">
        <v>14</v>
      </c>
      <c r="H5" s="3" t="s">
        <v>7</v>
      </c>
      <c r="I5" s="5" t="s">
        <v>8</v>
      </c>
      <c r="J5" s="4" t="s">
        <v>9</v>
      </c>
      <c r="K5" s="24" t="s">
        <v>10</v>
      </c>
      <c r="L5" s="25"/>
      <c r="M5" s="25"/>
    </row>
    <row r="6" spans="1:13" s="52" customFormat="1" ht="15" x14ac:dyDescent="0.2">
      <c r="A6" s="49">
        <v>46204</v>
      </c>
      <c r="B6" s="55">
        <v>666001</v>
      </c>
      <c r="C6" s="50" t="s">
        <v>42</v>
      </c>
      <c r="D6" s="51" t="s">
        <v>17</v>
      </c>
      <c r="E6" s="28">
        <v>27</v>
      </c>
      <c r="F6" s="57">
        <v>15</v>
      </c>
      <c r="G6" s="7">
        <v>25</v>
      </c>
      <c r="H6" s="29">
        <f>E6*G6</f>
        <v>675</v>
      </c>
      <c r="I6" s="30">
        <v>0</v>
      </c>
      <c r="J6" s="31">
        <f>(G6*E6)-I6</f>
        <v>675</v>
      </c>
      <c r="K6" s="32">
        <f t="shared" ref="K6:K75" si="1">E6*F6</f>
        <v>405</v>
      </c>
      <c r="L6" s="2"/>
      <c r="M6" s="2"/>
    </row>
    <row r="7" spans="1:13" s="52" customFormat="1" ht="15" x14ac:dyDescent="0.2">
      <c r="A7" s="49">
        <v>46204</v>
      </c>
      <c r="B7" s="55">
        <v>666002</v>
      </c>
      <c r="C7" s="50"/>
      <c r="D7" s="53" t="s">
        <v>18</v>
      </c>
      <c r="E7" s="28">
        <v>8</v>
      </c>
      <c r="F7" s="57">
        <v>15</v>
      </c>
      <c r="G7" s="7">
        <v>25</v>
      </c>
      <c r="H7" s="29">
        <f t="shared" ref="H7:H75" si="2">E7*G7</f>
        <v>200</v>
      </c>
      <c r="I7" s="30">
        <v>0</v>
      </c>
      <c r="J7" s="31">
        <f>(G7*E7)-I7</f>
        <v>200</v>
      </c>
      <c r="K7" s="32">
        <f t="shared" si="1"/>
        <v>120</v>
      </c>
      <c r="L7" s="2"/>
      <c r="M7" s="2"/>
    </row>
    <row r="8" spans="1:13" s="52" customFormat="1" ht="15" x14ac:dyDescent="0.2">
      <c r="A8" s="49">
        <v>46205</v>
      </c>
      <c r="B8" s="55">
        <v>666001</v>
      </c>
      <c r="C8" s="50" t="s">
        <v>43</v>
      </c>
      <c r="D8" s="53" t="s">
        <v>17</v>
      </c>
      <c r="E8" s="28">
        <v>4</v>
      </c>
      <c r="F8" s="57">
        <v>15</v>
      </c>
      <c r="G8" s="7">
        <v>25</v>
      </c>
      <c r="H8" s="29">
        <f t="shared" si="2"/>
        <v>100</v>
      </c>
      <c r="I8" s="30">
        <v>0</v>
      </c>
      <c r="J8" s="31">
        <f>(G8*E8)-I8</f>
        <v>100</v>
      </c>
      <c r="K8" s="32">
        <f t="shared" si="1"/>
        <v>60</v>
      </c>
      <c r="L8" s="2"/>
      <c r="M8" s="2"/>
    </row>
    <row r="9" spans="1:13" s="52" customFormat="1" ht="15" x14ac:dyDescent="0.2">
      <c r="A9" s="49">
        <v>46205</v>
      </c>
      <c r="B9" s="55">
        <v>666003</v>
      </c>
      <c r="C9" s="50" t="s">
        <v>44</v>
      </c>
      <c r="D9" s="53" t="s">
        <v>19</v>
      </c>
      <c r="E9" s="28">
        <v>150</v>
      </c>
      <c r="F9" s="57">
        <v>3</v>
      </c>
      <c r="G9" s="7">
        <v>7</v>
      </c>
      <c r="H9" s="29">
        <f t="shared" si="2"/>
        <v>1050</v>
      </c>
      <c r="I9" s="30">
        <v>75</v>
      </c>
      <c r="J9" s="31">
        <f>(G9*E9)-I9</f>
        <v>975</v>
      </c>
      <c r="K9" s="32">
        <f t="shared" si="1"/>
        <v>450</v>
      </c>
      <c r="L9" s="2"/>
      <c r="M9" s="2"/>
    </row>
    <row r="10" spans="1:13" s="52" customFormat="1" ht="15" x14ac:dyDescent="0.2">
      <c r="A10" s="49">
        <v>46205</v>
      </c>
      <c r="B10" s="55">
        <v>666002</v>
      </c>
      <c r="C10" s="50"/>
      <c r="D10" s="53" t="s">
        <v>18</v>
      </c>
      <c r="E10" s="28">
        <v>8</v>
      </c>
      <c r="F10" s="57">
        <v>15</v>
      </c>
      <c r="G10" s="7">
        <v>25</v>
      </c>
      <c r="H10" s="29">
        <f t="shared" si="2"/>
        <v>200</v>
      </c>
      <c r="I10" s="30">
        <v>0</v>
      </c>
      <c r="J10" s="31">
        <f>(G10*E10)-I10</f>
        <v>200</v>
      </c>
      <c r="K10" s="32">
        <f t="shared" si="1"/>
        <v>120</v>
      </c>
      <c r="L10" s="2"/>
      <c r="M10" s="2"/>
    </row>
    <row r="11" spans="1:13" s="52" customFormat="1" ht="15" x14ac:dyDescent="0.2">
      <c r="A11" s="49">
        <v>46209</v>
      </c>
      <c r="B11" s="55">
        <v>666002</v>
      </c>
      <c r="C11" s="50" t="s">
        <v>45</v>
      </c>
      <c r="D11" s="53" t="s">
        <v>18</v>
      </c>
      <c r="E11" s="28">
        <v>6</v>
      </c>
      <c r="F11" s="57">
        <v>15</v>
      </c>
      <c r="G11" s="60">
        <v>25</v>
      </c>
      <c r="H11" s="29">
        <f t="shared" si="2"/>
        <v>150</v>
      </c>
      <c r="I11" s="30">
        <v>0</v>
      </c>
      <c r="J11" s="31">
        <f t="shared" ref="J11:J75" si="3">(G11*E11)-I11</f>
        <v>150</v>
      </c>
      <c r="K11" s="32">
        <f t="shared" si="1"/>
        <v>90</v>
      </c>
      <c r="L11" s="2"/>
      <c r="M11" s="2"/>
    </row>
    <row r="12" spans="1:13" s="52" customFormat="1" ht="15" x14ac:dyDescent="0.2">
      <c r="A12" s="49">
        <v>46209</v>
      </c>
      <c r="B12" s="55">
        <v>666001</v>
      </c>
      <c r="C12" s="50" t="s">
        <v>46</v>
      </c>
      <c r="D12" s="53" t="s">
        <v>17</v>
      </c>
      <c r="E12" s="28">
        <v>4</v>
      </c>
      <c r="F12" s="57">
        <v>15</v>
      </c>
      <c r="G12" s="60">
        <v>25</v>
      </c>
      <c r="H12" s="29">
        <f t="shared" si="2"/>
        <v>100</v>
      </c>
      <c r="I12" s="30">
        <v>0</v>
      </c>
      <c r="J12" s="31">
        <f t="shared" si="3"/>
        <v>100</v>
      </c>
      <c r="K12" s="32">
        <f t="shared" si="1"/>
        <v>60</v>
      </c>
      <c r="L12" s="2"/>
      <c r="M12" s="2"/>
    </row>
    <row r="13" spans="1:13" s="52" customFormat="1" ht="15" x14ac:dyDescent="0.2">
      <c r="A13" s="49">
        <v>46209</v>
      </c>
      <c r="B13" s="55">
        <v>666010</v>
      </c>
      <c r="C13" s="50" t="s">
        <v>47</v>
      </c>
      <c r="D13" s="53" t="s">
        <v>57</v>
      </c>
      <c r="E13" s="28">
        <v>300</v>
      </c>
      <c r="F13" s="57">
        <v>3.4</v>
      </c>
      <c r="G13" s="60">
        <v>7</v>
      </c>
      <c r="H13" s="29">
        <f t="shared" si="2"/>
        <v>2100</v>
      </c>
      <c r="I13" s="30">
        <v>150</v>
      </c>
      <c r="J13" s="31">
        <f>(G13*E13)-I13</f>
        <v>1950</v>
      </c>
      <c r="K13" s="32">
        <f t="shared" si="1"/>
        <v>1020</v>
      </c>
      <c r="L13" s="2"/>
      <c r="M13" s="2"/>
    </row>
    <row r="14" spans="1:13" s="52" customFormat="1" ht="15" x14ac:dyDescent="0.2">
      <c r="A14" s="49">
        <v>46210</v>
      </c>
      <c r="B14" s="55">
        <v>666003</v>
      </c>
      <c r="C14" s="50" t="s">
        <v>48</v>
      </c>
      <c r="D14" s="53" t="s">
        <v>19</v>
      </c>
      <c r="E14" s="28">
        <v>95</v>
      </c>
      <c r="F14" s="57">
        <v>3</v>
      </c>
      <c r="G14" s="60">
        <v>7</v>
      </c>
      <c r="H14" s="29">
        <f t="shared" si="2"/>
        <v>665</v>
      </c>
      <c r="I14" s="30">
        <v>0</v>
      </c>
      <c r="J14" s="31">
        <f t="shared" si="3"/>
        <v>665</v>
      </c>
      <c r="K14" s="32">
        <f t="shared" si="1"/>
        <v>285</v>
      </c>
      <c r="L14" s="2"/>
      <c r="M14" s="2"/>
    </row>
    <row r="15" spans="1:13" s="52" customFormat="1" ht="15" x14ac:dyDescent="0.2">
      <c r="A15" s="49">
        <v>46210</v>
      </c>
      <c r="B15" s="55">
        <v>666001</v>
      </c>
      <c r="C15" s="50" t="s">
        <v>49</v>
      </c>
      <c r="D15" s="53" t="s">
        <v>17</v>
      </c>
      <c r="E15" s="28">
        <v>13</v>
      </c>
      <c r="F15" s="57">
        <v>15</v>
      </c>
      <c r="G15" s="60">
        <v>25</v>
      </c>
      <c r="H15" s="29">
        <f t="shared" si="2"/>
        <v>325</v>
      </c>
      <c r="I15" s="30">
        <v>0</v>
      </c>
      <c r="J15" s="31">
        <f t="shared" si="3"/>
        <v>325</v>
      </c>
      <c r="K15" s="32">
        <f t="shared" si="1"/>
        <v>195</v>
      </c>
      <c r="L15" s="2"/>
      <c r="M15" s="2"/>
    </row>
    <row r="16" spans="1:13" s="52" customFormat="1" ht="15" x14ac:dyDescent="0.2">
      <c r="A16" s="49">
        <v>46210</v>
      </c>
      <c r="B16" s="55">
        <v>666002</v>
      </c>
      <c r="C16" s="50"/>
      <c r="D16" s="53" t="s">
        <v>18</v>
      </c>
      <c r="E16" s="28">
        <v>2</v>
      </c>
      <c r="F16" s="57">
        <v>15</v>
      </c>
      <c r="G16" s="60">
        <v>25</v>
      </c>
      <c r="H16" s="29">
        <f t="shared" si="2"/>
        <v>50</v>
      </c>
      <c r="I16" s="30">
        <v>75</v>
      </c>
      <c r="J16" s="31">
        <f t="shared" si="3"/>
        <v>-25</v>
      </c>
      <c r="K16" s="32">
        <f t="shared" si="1"/>
        <v>30</v>
      </c>
      <c r="L16" s="2"/>
      <c r="M16" s="2"/>
    </row>
    <row r="17" spans="1:14" s="52" customFormat="1" ht="15" x14ac:dyDescent="0.2">
      <c r="A17" s="49">
        <v>46211</v>
      </c>
      <c r="B17" s="55">
        <v>666001</v>
      </c>
      <c r="C17" s="50" t="s">
        <v>50</v>
      </c>
      <c r="D17" s="53" t="s">
        <v>17</v>
      </c>
      <c r="E17" s="28">
        <v>2</v>
      </c>
      <c r="F17" s="57">
        <v>15</v>
      </c>
      <c r="G17" s="60">
        <v>25</v>
      </c>
      <c r="H17" s="29">
        <f t="shared" si="2"/>
        <v>50</v>
      </c>
      <c r="I17" s="30">
        <v>0</v>
      </c>
      <c r="J17" s="31">
        <f t="shared" si="3"/>
        <v>50</v>
      </c>
      <c r="K17" s="32">
        <f t="shared" si="1"/>
        <v>30</v>
      </c>
      <c r="L17" s="2"/>
      <c r="M17" s="2"/>
    </row>
    <row r="18" spans="1:14" s="52" customFormat="1" ht="15" x14ac:dyDescent="0.2">
      <c r="A18" s="49">
        <v>46211</v>
      </c>
      <c r="B18" s="55">
        <v>666001</v>
      </c>
      <c r="C18" s="50" t="s">
        <v>51</v>
      </c>
      <c r="D18" s="53" t="s">
        <v>17</v>
      </c>
      <c r="E18" s="28">
        <v>2</v>
      </c>
      <c r="F18" s="57">
        <v>15</v>
      </c>
      <c r="G18" s="60">
        <v>25</v>
      </c>
      <c r="H18" s="29">
        <f t="shared" si="2"/>
        <v>50</v>
      </c>
      <c r="I18" s="30">
        <v>0</v>
      </c>
      <c r="J18" s="31">
        <f t="shared" si="3"/>
        <v>50</v>
      </c>
      <c r="K18" s="32">
        <f t="shared" si="1"/>
        <v>30</v>
      </c>
      <c r="L18" s="2"/>
      <c r="M18" s="2"/>
    </row>
    <row r="19" spans="1:14" s="52" customFormat="1" ht="15" x14ac:dyDescent="0.2">
      <c r="A19" s="49">
        <v>46211</v>
      </c>
      <c r="B19" s="55">
        <v>666002</v>
      </c>
      <c r="C19" s="50" t="s">
        <v>52</v>
      </c>
      <c r="D19" s="53" t="s">
        <v>18</v>
      </c>
      <c r="E19" s="28">
        <v>7</v>
      </c>
      <c r="F19" s="57">
        <v>15</v>
      </c>
      <c r="G19" s="60">
        <v>25</v>
      </c>
      <c r="H19" s="29">
        <f t="shared" si="2"/>
        <v>175</v>
      </c>
      <c r="I19" s="30">
        <v>0</v>
      </c>
      <c r="J19" s="31">
        <f t="shared" si="3"/>
        <v>175</v>
      </c>
      <c r="K19" s="32">
        <f t="shared" si="1"/>
        <v>105</v>
      </c>
      <c r="L19" s="2"/>
      <c r="M19" s="2"/>
    </row>
    <row r="20" spans="1:14" s="52" customFormat="1" ht="15" x14ac:dyDescent="0.2">
      <c r="A20" s="49">
        <v>46211</v>
      </c>
      <c r="B20" s="55">
        <v>666010</v>
      </c>
      <c r="C20" s="50" t="s">
        <v>53</v>
      </c>
      <c r="D20" s="53" t="s">
        <v>57</v>
      </c>
      <c r="E20" s="28">
        <v>160</v>
      </c>
      <c r="F20" s="57">
        <v>3.4</v>
      </c>
      <c r="G20" s="60">
        <v>7</v>
      </c>
      <c r="H20" s="29">
        <f t="shared" si="2"/>
        <v>1120</v>
      </c>
      <c r="I20" s="30">
        <v>160</v>
      </c>
      <c r="J20" s="31">
        <f t="shared" si="3"/>
        <v>960</v>
      </c>
      <c r="K20" s="32">
        <f t="shared" si="1"/>
        <v>544</v>
      </c>
      <c r="L20" s="2"/>
      <c r="M20" s="2"/>
    </row>
    <row r="21" spans="1:14" s="52" customFormat="1" ht="15" x14ac:dyDescent="0.2">
      <c r="A21" s="49">
        <v>46212</v>
      </c>
      <c r="B21" s="55">
        <v>666001</v>
      </c>
      <c r="C21" s="50" t="s">
        <v>54</v>
      </c>
      <c r="D21" s="53" t="s">
        <v>17</v>
      </c>
      <c r="E21" s="28">
        <v>8</v>
      </c>
      <c r="F21" s="57">
        <v>15</v>
      </c>
      <c r="G21" s="60">
        <v>25</v>
      </c>
      <c r="H21" s="29">
        <f t="shared" si="2"/>
        <v>200</v>
      </c>
      <c r="I21" s="30">
        <v>0</v>
      </c>
      <c r="J21" s="31">
        <f t="shared" si="3"/>
        <v>200</v>
      </c>
      <c r="K21" s="32">
        <f t="shared" si="1"/>
        <v>120</v>
      </c>
      <c r="L21" s="2"/>
      <c r="M21" s="2"/>
    </row>
    <row r="22" spans="1:14" s="52" customFormat="1" ht="15" x14ac:dyDescent="0.2">
      <c r="A22" s="49">
        <v>46212</v>
      </c>
      <c r="B22" s="55">
        <v>666002</v>
      </c>
      <c r="C22" s="50" t="s">
        <v>55</v>
      </c>
      <c r="D22" s="53" t="s">
        <v>18</v>
      </c>
      <c r="E22" s="28">
        <v>4</v>
      </c>
      <c r="F22" s="57">
        <v>15</v>
      </c>
      <c r="G22" s="60">
        <v>25</v>
      </c>
      <c r="H22" s="29">
        <f t="shared" si="2"/>
        <v>100</v>
      </c>
      <c r="I22" s="30">
        <v>0</v>
      </c>
      <c r="J22" s="31">
        <f t="shared" si="3"/>
        <v>100</v>
      </c>
      <c r="K22" s="32">
        <f t="shared" si="1"/>
        <v>60</v>
      </c>
      <c r="L22" s="2"/>
      <c r="M22" s="2"/>
    </row>
    <row r="23" spans="1:14" s="52" customFormat="1" ht="15" x14ac:dyDescent="0.2">
      <c r="A23" s="49">
        <v>46212</v>
      </c>
      <c r="B23" s="55">
        <v>666001</v>
      </c>
      <c r="C23" s="50"/>
      <c r="D23" s="53" t="s">
        <v>17</v>
      </c>
      <c r="E23" s="28">
        <v>1</v>
      </c>
      <c r="F23" s="57">
        <v>15</v>
      </c>
      <c r="G23" s="60">
        <v>25</v>
      </c>
      <c r="H23" s="29">
        <f t="shared" si="2"/>
        <v>25</v>
      </c>
      <c r="I23" s="30">
        <v>0</v>
      </c>
      <c r="J23" s="31">
        <f t="shared" si="3"/>
        <v>25</v>
      </c>
      <c r="K23" s="32">
        <f t="shared" si="1"/>
        <v>15</v>
      </c>
      <c r="L23" s="2"/>
      <c r="M23" s="2"/>
    </row>
    <row r="24" spans="1:14" s="52" customFormat="1" ht="15" x14ac:dyDescent="0.2">
      <c r="A24" s="49">
        <v>46212</v>
      </c>
      <c r="B24" s="55">
        <v>666010</v>
      </c>
      <c r="C24" s="50"/>
      <c r="D24" s="53" t="s">
        <v>57</v>
      </c>
      <c r="E24" s="28">
        <v>100</v>
      </c>
      <c r="F24" s="57">
        <v>3.4</v>
      </c>
      <c r="G24" s="60">
        <v>7</v>
      </c>
      <c r="H24" s="29">
        <f t="shared" si="2"/>
        <v>700</v>
      </c>
      <c r="I24" s="30">
        <v>50</v>
      </c>
      <c r="J24" s="31">
        <f t="shared" si="3"/>
        <v>650</v>
      </c>
      <c r="K24" s="32">
        <f t="shared" si="1"/>
        <v>340</v>
      </c>
      <c r="L24" s="2"/>
      <c r="M24" s="2"/>
      <c r="N24" s="54"/>
    </row>
    <row r="25" spans="1:14" s="52" customFormat="1" ht="15" x14ac:dyDescent="0.2">
      <c r="A25" s="49">
        <v>46212</v>
      </c>
      <c r="B25" s="55">
        <v>666002</v>
      </c>
      <c r="C25" s="50" t="s">
        <v>56</v>
      </c>
      <c r="D25" s="53" t="s">
        <v>18</v>
      </c>
      <c r="E25" s="28">
        <v>3</v>
      </c>
      <c r="F25" s="57">
        <v>15</v>
      </c>
      <c r="G25" s="60">
        <v>25</v>
      </c>
      <c r="H25" s="29">
        <f t="shared" si="2"/>
        <v>75</v>
      </c>
      <c r="I25" s="30">
        <v>0</v>
      </c>
      <c r="J25" s="31">
        <f t="shared" si="3"/>
        <v>75</v>
      </c>
      <c r="K25" s="32">
        <f t="shared" si="1"/>
        <v>45</v>
      </c>
      <c r="L25" s="2"/>
      <c r="M25" s="2"/>
    </row>
    <row r="26" spans="1:14" s="52" customFormat="1" ht="15" x14ac:dyDescent="0.2">
      <c r="A26" s="49">
        <v>46213</v>
      </c>
      <c r="B26" s="55">
        <v>666001</v>
      </c>
      <c r="C26" s="50" t="s">
        <v>73</v>
      </c>
      <c r="D26" s="53" t="s">
        <v>17</v>
      </c>
      <c r="E26" s="28">
        <v>2</v>
      </c>
      <c r="F26" s="57">
        <v>15</v>
      </c>
      <c r="G26" s="60">
        <v>25</v>
      </c>
      <c r="H26" s="29">
        <f t="shared" si="2"/>
        <v>50</v>
      </c>
      <c r="I26" s="30">
        <v>0</v>
      </c>
      <c r="J26" s="31">
        <f t="shared" si="3"/>
        <v>50</v>
      </c>
      <c r="K26" s="32">
        <f t="shared" si="1"/>
        <v>30</v>
      </c>
      <c r="L26" s="2"/>
      <c r="M26" s="2"/>
    </row>
    <row r="27" spans="1:14" s="52" customFormat="1" ht="15" x14ac:dyDescent="0.2">
      <c r="A27" s="49">
        <v>46213</v>
      </c>
      <c r="B27" s="55">
        <v>666002</v>
      </c>
      <c r="C27" s="50" t="s">
        <v>74</v>
      </c>
      <c r="D27" s="53" t="s">
        <v>18</v>
      </c>
      <c r="E27" s="28">
        <v>4</v>
      </c>
      <c r="F27" s="57">
        <v>15</v>
      </c>
      <c r="G27" s="60">
        <v>25</v>
      </c>
      <c r="H27" s="29">
        <f t="shared" si="2"/>
        <v>100</v>
      </c>
      <c r="I27" s="30">
        <v>0</v>
      </c>
      <c r="J27" s="31">
        <f t="shared" si="3"/>
        <v>100</v>
      </c>
      <c r="K27" s="32">
        <f t="shared" si="1"/>
        <v>60</v>
      </c>
      <c r="L27" s="2"/>
      <c r="M27" s="2"/>
    </row>
    <row r="28" spans="1:14" s="52" customFormat="1" ht="15" x14ac:dyDescent="0.2">
      <c r="A28" s="49">
        <v>46216</v>
      </c>
      <c r="B28" s="55">
        <v>666002</v>
      </c>
      <c r="C28" s="50" t="s">
        <v>75</v>
      </c>
      <c r="D28" s="53" t="s">
        <v>18</v>
      </c>
      <c r="E28" s="28">
        <v>4</v>
      </c>
      <c r="F28" s="57">
        <v>15</v>
      </c>
      <c r="G28" s="60">
        <v>25</v>
      </c>
      <c r="H28" s="29">
        <f t="shared" si="2"/>
        <v>100</v>
      </c>
      <c r="I28" s="30">
        <v>0</v>
      </c>
      <c r="J28" s="31">
        <f t="shared" si="3"/>
        <v>100</v>
      </c>
      <c r="K28" s="32">
        <f t="shared" si="1"/>
        <v>60</v>
      </c>
      <c r="L28" s="2"/>
      <c r="M28" s="2"/>
    </row>
    <row r="29" spans="1:14" s="52" customFormat="1" ht="15" x14ac:dyDescent="0.2">
      <c r="A29" s="49">
        <v>46216</v>
      </c>
      <c r="B29" s="55">
        <v>666001</v>
      </c>
      <c r="C29" s="50" t="s">
        <v>76</v>
      </c>
      <c r="D29" s="53" t="s">
        <v>17</v>
      </c>
      <c r="E29" s="28">
        <v>3</v>
      </c>
      <c r="F29" s="57">
        <v>15</v>
      </c>
      <c r="G29" s="60">
        <v>25</v>
      </c>
      <c r="H29" s="29">
        <f t="shared" si="2"/>
        <v>75</v>
      </c>
      <c r="I29" s="30">
        <v>0</v>
      </c>
      <c r="J29" s="31">
        <f t="shared" si="3"/>
        <v>75</v>
      </c>
      <c r="K29" s="32">
        <f t="shared" si="1"/>
        <v>45</v>
      </c>
      <c r="L29" s="2"/>
      <c r="M29" s="2"/>
    </row>
    <row r="30" spans="1:14" s="52" customFormat="1" ht="15" x14ac:dyDescent="0.2">
      <c r="A30" s="49">
        <v>46216</v>
      </c>
      <c r="B30" s="55">
        <v>666001</v>
      </c>
      <c r="C30" s="50" t="s">
        <v>77</v>
      </c>
      <c r="D30" s="53" t="s">
        <v>17</v>
      </c>
      <c r="E30" s="28">
        <v>5</v>
      </c>
      <c r="F30" s="57">
        <v>15</v>
      </c>
      <c r="G30" s="60">
        <v>25</v>
      </c>
      <c r="H30" s="29">
        <f t="shared" si="2"/>
        <v>125</v>
      </c>
      <c r="I30" s="30">
        <v>0</v>
      </c>
      <c r="J30" s="31">
        <f t="shared" si="3"/>
        <v>125</v>
      </c>
      <c r="K30" s="32">
        <f t="shared" si="1"/>
        <v>75</v>
      </c>
      <c r="L30" s="2"/>
      <c r="M30" s="2"/>
    </row>
    <row r="31" spans="1:14" s="52" customFormat="1" ht="15" x14ac:dyDescent="0.2">
      <c r="A31" s="49">
        <v>46216</v>
      </c>
      <c r="B31" s="55">
        <v>666003</v>
      </c>
      <c r="C31" s="50" t="s">
        <v>78</v>
      </c>
      <c r="D31" s="53" t="s">
        <v>19</v>
      </c>
      <c r="E31" s="28">
        <v>100</v>
      </c>
      <c r="F31" s="57">
        <v>3</v>
      </c>
      <c r="G31" s="60">
        <v>7</v>
      </c>
      <c r="H31" s="29">
        <f t="shared" si="2"/>
        <v>700</v>
      </c>
      <c r="I31" s="30">
        <v>50</v>
      </c>
      <c r="J31" s="31">
        <f t="shared" si="3"/>
        <v>650</v>
      </c>
      <c r="K31" s="32">
        <f t="shared" si="1"/>
        <v>300</v>
      </c>
      <c r="L31" s="2"/>
      <c r="M31" s="2"/>
    </row>
    <row r="32" spans="1:14" s="52" customFormat="1" ht="15" x14ac:dyDescent="0.2">
      <c r="A32" s="49">
        <v>46217</v>
      </c>
      <c r="B32" s="55">
        <v>666010</v>
      </c>
      <c r="C32" s="50" t="s">
        <v>79</v>
      </c>
      <c r="D32" s="53" t="s">
        <v>57</v>
      </c>
      <c r="E32" s="28">
        <v>100</v>
      </c>
      <c r="F32" s="57">
        <v>3.4</v>
      </c>
      <c r="G32" s="60">
        <v>7</v>
      </c>
      <c r="H32" s="29">
        <f t="shared" si="2"/>
        <v>700</v>
      </c>
      <c r="I32" s="30">
        <v>0</v>
      </c>
      <c r="J32" s="31">
        <f t="shared" si="3"/>
        <v>700</v>
      </c>
      <c r="K32" s="32">
        <f t="shared" si="1"/>
        <v>340</v>
      </c>
      <c r="L32" s="2"/>
      <c r="M32" s="2"/>
    </row>
    <row r="33" spans="1:14" s="52" customFormat="1" ht="15" x14ac:dyDescent="0.2">
      <c r="A33" s="49">
        <v>46217</v>
      </c>
      <c r="B33" s="55">
        <v>666002</v>
      </c>
      <c r="C33" s="50" t="s">
        <v>80</v>
      </c>
      <c r="D33" s="53" t="s">
        <v>18</v>
      </c>
      <c r="E33" s="28">
        <v>4</v>
      </c>
      <c r="F33" s="57">
        <v>15</v>
      </c>
      <c r="G33" s="60">
        <v>25</v>
      </c>
      <c r="H33" s="29">
        <f t="shared" si="2"/>
        <v>100</v>
      </c>
      <c r="I33" s="30">
        <v>0</v>
      </c>
      <c r="J33" s="31">
        <f t="shared" si="3"/>
        <v>100</v>
      </c>
      <c r="K33" s="32">
        <f t="shared" si="1"/>
        <v>60</v>
      </c>
      <c r="L33" s="2"/>
      <c r="M33" s="2"/>
    </row>
    <row r="34" spans="1:14" s="52" customFormat="1" ht="15" x14ac:dyDescent="0.2">
      <c r="A34" s="49">
        <v>46217</v>
      </c>
      <c r="B34" s="55">
        <v>666010</v>
      </c>
      <c r="C34" s="50" t="s">
        <v>81</v>
      </c>
      <c r="D34" s="53" t="s">
        <v>57</v>
      </c>
      <c r="E34" s="28">
        <v>200</v>
      </c>
      <c r="F34" s="57">
        <v>3.4</v>
      </c>
      <c r="G34" s="60">
        <v>7</v>
      </c>
      <c r="H34" s="29">
        <f t="shared" si="2"/>
        <v>1400</v>
      </c>
      <c r="I34" s="30">
        <v>100</v>
      </c>
      <c r="J34" s="31">
        <f t="shared" si="3"/>
        <v>1300</v>
      </c>
      <c r="K34" s="32">
        <f t="shared" si="1"/>
        <v>680</v>
      </c>
      <c r="L34" s="2"/>
      <c r="M34" s="2"/>
    </row>
    <row r="35" spans="1:14" s="52" customFormat="1" ht="15" x14ac:dyDescent="0.2">
      <c r="A35" s="49">
        <v>46217</v>
      </c>
      <c r="B35" s="55">
        <v>666001</v>
      </c>
      <c r="C35" s="50" t="s">
        <v>82</v>
      </c>
      <c r="D35" s="53" t="s">
        <v>17</v>
      </c>
      <c r="E35" s="28">
        <v>3</v>
      </c>
      <c r="F35" s="57">
        <v>15</v>
      </c>
      <c r="G35" s="60">
        <v>25</v>
      </c>
      <c r="H35" s="29">
        <f t="shared" si="2"/>
        <v>75</v>
      </c>
      <c r="I35" s="30">
        <v>0</v>
      </c>
      <c r="J35" s="31">
        <f t="shared" si="3"/>
        <v>75</v>
      </c>
      <c r="K35" s="32">
        <f t="shared" si="1"/>
        <v>45</v>
      </c>
      <c r="L35" s="2"/>
      <c r="M35" s="2"/>
    </row>
    <row r="36" spans="1:14" s="52" customFormat="1" ht="15" x14ac:dyDescent="0.2">
      <c r="A36" s="49">
        <v>46217</v>
      </c>
      <c r="B36" s="55">
        <v>666010</v>
      </c>
      <c r="C36" s="50" t="s">
        <v>83</v>
      </c>
      <c r="D36" s="53" t="s">
        <v>19</v>
      </c>
      <c r="E36" s="28">
        <v>40</v>
      </c>
      <c r="F36" s="57">
        <v>3.4</v>
      </c>
      <c r="G36" s="60">
        <v>7</v>
      </c>
      <c r="H36" s="29">
        <f t="shared" si="2"/>
        <v>280</v>
      </c>
      <c r="I36" s="30">
        <v>0</v>
      </c>
      <c r="J36" s="31">
        <f t="shared" si="3"/>
        <v>280</v>
      </c>
      <c r="K36" s="32">
        <f t="shared" si="1"/>
        <v>136</v>
      </c>
      <c r="L36" s="2"/>
      <c r="M36" s="2"/>
    </row>
    <row r="37" spans="1:14" s="52" customFormat="1" ht="15" x14ac:dyDescent="0.2">
      <c r="A37" s="49">
        <v>46217</v>
      </c>
      <c r="B37" s="55">
        <v>666001</v>
      </c>
      <c r="C37" s="50" t="s">
        <v>84</v>
      </c>
      <c r="D37" s="53" t="s">
        <v>17</v>
      </c>
      <c r="E37" s="28">
        <v>10</v>
      </c>
      <c r="F37" s="57">
        <v>15</v>
      </c>
      <c r="G37" s="60">
        <v>25</v>
      </c>
      <c r="H37" s="29">
        <f t="shared" si="2"/>
        <v>250</v>
      </c>
      <c r="I37" s="30">
        <v>0</v>
      </c>
      <c r="J37" s="31">
        <f t="shared" si="3"/>
        <v>250</v>
      </c>
      <c r="K37" s="32">
        <f t="shared" si="1"/>
        <v>150</v>
      </c>
      <c r="L37" s="2"/>
      <c r="M37" s="2"/>
    </row>
    <row r="38" spans="1:14" s="52" customFormat="1" ht="15" x14ac:dyDescent="0.2">
      <c r="A38" s="49">
        <v>46217</v>
      </c>
      <c r="B38" s="55">
        <v>666002</v>
      </c>
      <c r="C38" s="50"/>
      <c r="D38" s="53" t="s">
        <v>18</v>
      </c>
      <c r="E38" s="28">
        <v>2</v>
      </c>
      <c r="F38" s="57">
        <v>15</v>
      </c>
      <c r="G38" s="60">
        <v>25</v>
      </c>
      <c r="H38" s="29">
        <f t="shared" si="2"/>
        <v>50</v>
      </c>
      <c r="I38" s="30">
        <v>60</v>
      </c>
      <c r="J38" s="31">
        <f t="shared" si="3"/>
        <v>-10</v>
      </c>
      <c r="K38" s="32">
        <f t="shared" si="1"/>
        <v>30</v>
      </c>
      <c r="L38" s="2"/>
      <c r="M38" s="2"/>
    </row>
    <row r="39" spans="1:14" s="52" customFormat="1" ht="15" x14ac:dyDescent="0.2">
      <c r="A39" s="49" t="s">
        <v>58</v>
      </c>
      <c r="B39" s="55">
        <v>666001</v>
      </c>
      <c r="C39" s="50" t="s">
        <v>85</v>
      </c>
      <c r="D39" s="53" t="s">
        <v>17</v>
      </c>
      <c r="E39" s="28">
        <v>2</v>
      </c>
      <c r="F39" s="57">
        <v>15</v>
      </c>
      <c r="G39" s="60">
        <v>25</v>
      </c>
      <c r="H39" s="29">
        <f t="shared" si="2"/>
        <v>50</v>
      </c>
      <c r="I39" s="30">
        <v>0</v>
      </c>
      <c r="J39" s="31">
        <f t="shared" si="3"/>
        <v>50</v>
      </c>
      <c r="K39" s="32">
        <f t="shared" si="1"/>
        <v>30</v>
      </c>
      <c r="L39" s="2"/>
      <c r="M39" s="2"/>
    </row>
    <row r="40" spans="1:14" s="52" customFormat="1" ht="15" x14ac:dyDescent="0.2">
      <c r="A40" s="49">
        <v>46219</v>
      </c>
      <c r="B40" s="55">
        <v>666002</v>
      </c>
      <c r="C40" s="50" t="s">
        <v>86</v>
      </c>
      <c r="D40" s="53" t="s">
        <v>18</v>
      </c>
      <c r="E40" s="28">
        <v>25</v>
      </c>
      <c r="F40" s="57">
        <v>15</v>
      </c>
      <c r="G40" s="60">
        <v>25</v>
      </c>
      <c r="H40" s="29">
        <f t="shared" si="2"/>
        <v>625</v>
      </c>
      <c r="I40" s="30">
        <v>0</v>
      </c>
      <c r="J40" s="31">
        <f t="shared" si="3"/>
        <v>625</v>
      </c>
      <c r="K40" s="32">
        <f t="shared" si="1"/>
        <v>375</v>
      </c>
      <c r="L40" s="2"/>
      <c r="M40" s="2"/>
    </row>
    <row r="41" spans="1:14" s="52" customFormat="1" ht="15" x14ac:dyDescent="0.2">
      <c r="A41" s="49">
        <v>46219</v>
      </c>
      <c r="B41" s="55">
        <v>666003</v>
      </c>
      <c r="C41" s="50"/>
      <c r="D41" s="53" t="s">
        <v>19</v>
      </c>
      <c r="E41" s="28">
        <v>20</v>
      </c>
      <c r="F41" s="57">
        <v>3</v>
      </c>
      <c r="G41" s="60">
        <v>7</v>
      </c>
      <c r="H41" s="29">
        <f t="shared" si="2"/>
        <v>140</v>
      </c>
      <c r="I41" s="30">
        <v>0</v>
      </c>
      <c r="J41" s="31">
        <f t="shared" si="3"/>
        <v>140</v>
      </c>
      <c r="K41" s="32">
        <f t="shared" si="1"/>
        <v>60</v>
      </c>
      <c r="L41" s="2"/>
      <c r="M41" s="2"/>
    </row>
    <row r="42" spans="1:14" s="52" customFormat="1" ht="15" x14ac:dyDescent="0.2">
      <c r="A42" s="49">
        <v>46219</v>
      </c>
      <c r="B42" s="55">
        <v>666010</v>
      </c>
      <c r="C42" s="50"/>
      <c r="D42" s="53" t="s">
        <v>57</v>
      </c>
      <c r="E42" s="28">
        <v>150</v>
      </c>
      <c r="F42" s="57">
        <v>3.4</v>
      </c>
      <c r="G42" s="60">
        <v>7</v>
      </c>
      <c r="H42" s="29">
        <f t="shared" si="2"/>
        <v>1050</v>
      </c>
      <c r="I42" s="30">
        <v>75</v>
      </c>
      <c r="J42" s="31">
        <f t="shared" si="3"/>
        <v>975</v>
      </c>
      <c r="K42" s="32">
        <f t="shared" si="1"/>
        <v>510</v>
      </c>
      <c r="L42" s="2"/>
      <c r="M42" s="2"/>
    </row>
    <row r="43" spans="1:14" s="52" customFormat="1" ht="15" x14ac:dyDescent="0.2">
      <c r="A43" s="49">
        <v>46223</v>
      </c>
      <c r="B43" s="55">
        <v>666002</v>
      </c>
      <c r="C43" s="50" t="s">
        <v>87</v>
      </c>
      <c r="D43" s="53" t="s">
        <v>18</v>
      </c>
      <c r="E43" s="28">
        <v>1</v>
      </c>
      <c r="F43" s="57">
        <v>15</v>
      </c>
      <c r="G43" s="60">
        <v>25</v>
      </c>
      <c r="H43" s="29">
        <f t="shared" si="2"/>
        <v>25</v>
      </c>
      <c r="I43" s="30">
        <v>0</v>
      </c>
      <c r="J43" s="31">
        <f t="shared" si="3"/>
        <v>25</v>
      </c>
      <c r="K43" s="32">
        <f t="shared" si="1"/>
        <v>15</v>
      </c>
      <c r="L43" s="2"/>
      <c r="M43" s="2"/>
      <c r="N43" s="54"/>
    </row>
    <row r="44" spans="1:14" s="52" customFormat="1" ht="15" x14ac:dyDescent="0.2">
      <c r="A44" s="49">
        <v>46223</v>
      </c>
      <c r="B44" s="55">
        <v>666001</v>
      </c>
      <c r="C44" s="50" t="s">
        <v>88</v>
      </c>
      <c r="D44" s="53" t="s">
        <v>17</v>
      </c>
      <c r="E44" s="28">
        <v>5</v>
      </c>
      <c r="F44" s="57">
        <v>15</v>
      </c>
      <c r="G44" s="60">
        <v>25</v>
      </c>
      <c r="H44" s="29">
        <f t="shared" si="2"/>
        <v>125</v>
      </c>
      <c r="I44" s="30">
        <v>0</v>
      </c>
      <c r="J44" s="31">
        <f t="shared" si="3"/>
        <v>125</v>
      </c>
      <c r="K44" s="32">
        <f t="shared" si="1"/>
        <v>75</v>
      </c>
      <c r="L44" s="2"/>
      <c r="M44" s="2"/>
    </row>
    <row r="45" spans="1:14" s="52" customFormat="1" ht="15" x14ac:dyDescent="0.2">
      <c r="A45" s="49">
        <v>46223</v>
      </c>
      <c r="B45" s="55">
        <v>666002</v>
      </c>
      <c r="C45" s="50" t="s">
        <v>89</v>
      </c>
      <c r="D45" s="53" t="s">
        <v>18</v>
      </c>
      <c r="E45" s="28">
        <v>5</v>
      </c>
      <c r="F45" s="57">
        <v>15</v>
      </c>
      <c r="G45" s="60">
        <v>25</v>
      </c>
      <c r="H45" s="29">
        <f t="shared" si="2"/>
        <v>125</v>
      </c>
      <c r="I45" s="30">
        <v>0</v>
      </c>
      <c r="J45" s="31">
        <f t="shared" si="3"/>
        <v>125</v>
      </c>
      <c r="K45" s="32">
        <f t="shared" si="1"/>
        <v>75</v>
      </c>
      <c r="L45" s="2"/>
      <c r="M45" s="2"/>
    </row>
    <row r="46" spans="1:14" s="52" customFormat="1" ht="15" x14ac:dyDescent="0.2">
      <c r="A46" s="49">
        <v>46223</v>
      </c>
      <c r="B46" s="55">
        <v>666010</v>
      </c>
      <c r="C46" s="50" t="s">
        <v>90</v>
      </c>
      <c r="D46" s="53" t="s">
        <v>57</v>
      </c>
      <c r="E46" s="28">
        <v>200</v>
      </c>
      <c r="F46" s="57">
        <v>3.4</v>
      </c>
      <c r="G46" s="60">
        <v>7</v>
      </c>
      <c r="H46" s="29">
        <f t="shared" si="2"/>
        <v>1400</v>
      </c>
      <c r="I46" s="30">
        <v>100</v>
      </c>
      <c r="J46" s="31">
        <f t="shared" si="3"/>
        <v>1300</v>
      </c>
      <c r="K46" s="32">
        <f t="shared" si="1"/>
        <v>680</v>
      </c>
      <c r="L46" s="2"/>
      <c r="M46" s="2"/>
    </row>
    <row r="47" spans="1:14" s="52" customFormat="1" ht="15" x14ac:dyDescent="0.2">
      <c r="A47" s="49">
        <v>46223</v>
      </c>
      <c r="B47" s="55">
        <v>666001</v>
      </c>
      <c r="C47" s="50" t="s">
        <v>91</v>
      </c>
      <c r="D47" s="53" t="s">
        <v>17</v>
      </c>
      <c r="E47" s="28">
        <v>2</v>
      </c>
      <c r="F47" s="57">
        <v>15</v>
      </c>
      <c r="G47" s="60">
        <v>25</v>
      </c>
      <c r="H47" s="29">
        <f t="shared" si="2"/>
        <v>50</v>
      </c>
      <c r="I47" s="30">
        <v>0</v>
      </c>
      <c r="J47" s="31">
        <f t="shared" si="3"/>
        <v>50</v>
      </c>
      <c r="K47" s="32">
        <f t="shared" si="1"/>
        <v>30</v>
      </c>
      <c r="L47" s="2"/>
      <c r="M47" s="2"/>
    </row>
    <row r="48" spans="1:14" s="52" customFormat="1" ht="15" x14ac:dyDescent="0.2">
      <c r="A48" s="49">
        <v>46223</v>
      </c>
      <c r="B48" s="55">
        <v>666001</v>
      </c>
      <c r="C48" s="50" t="s">
        <v>92</v>
      </c>
      <c r="D48" s="53" t="s">
        <v>17</v>
      </c>
      <c r="E48" s="28">
        <v>10</v>
      </c>
      <c r="F48" s="57">
        <v>15</v>
      </c>
      <c r="G48" s="60">
        <v>25</v>
      </c>
      <c r="H48" s="29">
        <f t="shared" si="2"/>
        <v>250</v>
      </c>
      <c r="I48" s="30">
        <v>50</v>
      </c>
      <c r="J48" s="31">
        <f t="shared" si="3"/>
        <v>200</v>
      </c>
      <c r="K48" s="32">
        <f t="shared" si="1"/>
        <v>150</v>
      </c>
      <c r="L48" s="2"/>
      <c r="M48" s="2"/>
    </row>
    <row r="49" spans="1:14" s="52" customFormat="1" ht="15" x14ac:dyDescent="0.2">
      <c r="A49" s="49">
        <v>46223</v>
      </c>
      <c r="B49" s="55">
        <v>666002</v>
      </c>
      <c r="C49" s="50"/>
      <c r="D49" s="53" t="s">
        <v>18</v>
      </c>
      <c r="E49" s="28">
        <v>5</v>
      </c>
      <c r="F49" s="57">
        <v>15</v>
      </c>
      <c r="G49" s="60">
        <v>25</v>
      </c>
      <c r="H49" s="29">
        <f t="shared" si="2"/>
        <v>125</v>
      </c>
      <c r="I49" s="30">
        <v>25</v>
      </c>
      <c r="J49" s="31">
        <f t="shared" si="3"/>
        <v>100</v>
      </c>
      <c r="K49" s="32">
        <f t="shared" si="1"/>
        <v>75</v>
      </c>
      <c r="L49" s="2"/>
      <c r="M49" s="2"/>
    </row>
    <row r="50" spans="1:14" s="52" customFormat="1" ht="15" x14ac:dyDescent="0.2">
      <c r="A50" s="49">
        <v>46224</v>
      </c>
      <c r="B50" s="55">
        <v>666002</v>
      </c>
      <c r="C50" s="50" t="s">
        <v>93</v>
      </c>
      <c r="D50" s="53" t="s">
        <v>18</v>
      </c>
      <c r="E50" s="28">
        <v>4</v>
      </c>
      <c r="F50" s="57">
        <v>15</v>
      </c>
      <c r="G50" s="60">
        <v>25</v>
      </c>
      <c r="H50" s="29">
        <f t="shared" si="2"/>
        <v>100</v>
      </c>
      <c r="I50" s="30">
        <v>0</v>
      </c>
      <c r="J50" s="31">
        <f t="shared" si="3"/>
        <v>100</v>
      </c>
      <c r="K50" s="32">
        <f t="shared" si="1"/>
        <v>60</v>
      </c>
      <c r="L50" s="2"/>
      <c r="M50" s="2"/>
    </row>
    <row r="51" spans="1:14" s="52" customFormat="1" ht="15" x14ac:dyDescent="0.2">
      <c r="A51" s="49">
        <v>46224</v>
      </c>
      <c r="B51" s="55">
        <v>666010</v>
      </c>
      <c r="C51" s="50" t="s">
        <v>94</v>
      </c>
      <c r="D51" s="53" t="s">
        <v>57</v>
      </c>
      <c r="E51" s="28">
        <v>200</v>
      </c>
      <c r="F51" s="57">
        <v>3.4</v>
      </c>
      <c r="G51" s="60">
        <v>7</v>
      </c>
      <c r="H51" s="29">
        <f t="shared" si="2"/>
        <v>1400</v>
      </c>
      <c r="I51" s="30">
        <v>100</v>
      </c>
      <c r="J51" s="31">
        <f t="shared" si="3"/>
        <v>1300</v>
      </c>
      <c r="K51" s="32">
        <f t="shared" si="1"/>
        <v>680</v>
      </c>
      <c r="L51" s="2"/>
      <c r="M51" s="2"/>
    </row>
    <row r="52" spans="1:14" s="52" customFormat="1" ht="15" x14ac:dyDescent="0.2">
      <c r="A52" s="49">
        <v>46225</v>
      </c>
      <c r="B52" s="55">
        <v>666001</v>
      </c>
      <c r="C52" s="50" t="s">
        <v>97</v>
      </c>
      <c r="D52" s="53" t="s">
        <v>17</v>
      </c>
      <c r="E52" s="28">
        <v>5</v>
      </c>
      <c r="F52" s="57">
        <v>15</v>
      </c>
      <c r="G52" s="7">
        <v>25</v>
      </c>
      <c r="H52" s="29">
        <f t="shared" si="2"/>
        <v>125</v>
      </c>
      <c r="I52" s="30">
        <v>0</v>
      </c>
      <c r="J52" s="31">
        <f t="shared" si="3"/>
        <v>125</v>
      </c>
      <c r="K52" s="32">
        <f t="shared" si="1"/>
        <v>75</v>
      </c>
      <c r="L52" s="2"/>
      <c r="M52" s="2"/>
    </row>
    <row r="53" spans="1:14" s="52" customFormat="1" ht="15" x14ac:dyDescent="0.2">
      <c r="A53" s="49">
        <v>46225</v>
      </c>
      <c r="B53" s="55">
        <v>666002</v>
      </c>
      <c r="C53" s="50"/>
      <c r="D53" s="53" t="s">
        <v>18</v>
      </c>
      <c r="E53" s="28">
        <v>5</v>
      </c>
      <c r="F53" s="57">
        <v>15</v>
      </c>
      <c r="G53" s="7">
        <v>25</v>
      </c>
      <c r="H53" s="29">
        <f t="shared" si="2"/>
        <v>125</v>
      </c>
      <c r="I53" s="30">
        <v>0</v>
      </c>
      <c r="J53" s="31">
        <f t="shared" si="3"/>
        <v>125</v>
      </c>
      <c r="K53" s="32">
        <f t="shared" si="1"/>
        <v>75</v>
      </c>
      <c r="L53" s="2"/>
      <c r="M53" s="2"/>
    </row>
    <row r="54" spans="1:14" s="52" customFormat="1" ht="15" x14ac:dyDescent="0.2">
      <c r="A54" s="49">
        <v>46226</v>
      </c>
      <c r="B54" s="55">
        <v>666001</v>
      </c>
      <c r="C54" s="50" t="s">
        <v>98</v>
      </c>
      <c r="D54" s="53" t="s">
        <v>17</v>
      </c>
      <c r="E54" s="28">
        <v>5</v>
      </c>
      <c r="F54" s="57">
        <v>15</v>
      </c>
      <c r="G54" s="7">
        <v>25</v>
      </c>
      <c r="H54" s="29">
        <f t="shared" si="2"/>
        <v>125</v>
      </c>
      <c r="I54" s="30">
        <v>0</v>
      </c>
      <c r="J54" s="31">
        <f t="shared" si="3"/>
        <v>125</v>
      </c>
      <c r="K54" s="32">
        <f t="shared" si="1"/>
        <v>75</v>
      </c>
      <c r="L54" s="2"/>
      <c r="M54" s="2"/>
    </row>
    <row r="55" spans="1:14" s="52" customFormat="1" ht="15" x14ac:dyDescent="0.2">
      <c r="A55" s="49">
        <v>46226</v>
      </c>
      <c r="B55" s="55">
        <v>666010</v>
      </c>
      <c r="C55" s="50" t="s">
        <v>99</v>
      </c>
      <c r="D55" s="53" t="s">
        <v>57</v>
      </c>
      <c r="E55" s="28">
        <v>65</v>
      </c>
      <c r="F55" s="57">
        <v>3.4</v>
      </c>
      <c r="G55" s="7">
        <v>7</v>
      </c>
      <c r="H55" s="29">
        <f t="shared" si="2"/>
        <v>455</v>
      </c>
      <c r="I55" s="30">
        <v>0</v>
      </c>
      <c r="J55" s="31">
        <f t="shared" si="3"/>
        <v>455</v>
      </c>
      <c r="K55" s="32">
        <f t="shared" si="1"/>
        <v>221</v>
      </c>
      <c r="L55" s="2"/>
      <c r="M55" s="2"/>
    </row>
    <row r="56" spans="1:14" s="52" customFormat="1" ht="15" x14ac:dyDescent="0.2">
      <c r="A56" s="49">
        <v>46226</v>
      </c>
      <c r="B56" s="50">
        <v>666002</v>
      </c>
      <c r="C56" s="50" t="s">
        <v>100</v>
      </c>
      <c r="D56" s="53" t="s">
        <v>18</v>
      </c>
      <c r="E56" s="28">
        <v>4</v>
      </c>
      <c r="F56" s="57">
        <v>15</v>
      </c>
      <c r="G56" s="7">
        <v>25</v>
      </c>
      <c r="H56" s="29">
        <f t="shared" si="2"/>
        <v>100</v>
      </c>
      <c r="I56" s="30">
        <v>0</v>
      </c>
      <c r="J56" s="31">
        <f t="shared" si="3"/>
        <v>100</v>
      </c>
      <c r="K56" s="32">
        <f t="shared" si="1"/>
        <v>60</v>
      </c>
      <c r="L56" s="2"/>
      <c r="M56" s="2"/>
    </row>
    <row r="57" spans="1:14" s="52" customFormat="1" ht="15" x14ac:dyDescent="0.2">
      <c r="A57" s="49">
        <v>46226</v>
      </c>
      <c r="B57" s="50">
        <v>666010</v>
      </c>
      <c r="C57" s="50" t="s">
        <v>101</v>
      </c>
      <c r="D57" s="53" t="s">
        <v>57</v>
      </c>
      <c r="E57" s="28">
        <v>200</v>
      </c>
      <c r="F57" s="57">
        <v>3.4</v>
      </c>
      <c r="G57" s="7">
        <v>7</v>
      </c>
      <c r="H57" s="29">
        <f t="shared" si="2"/>
        <v>1400</v>
      </c>
      <c r="I57" s="30">
        <v>100</v>
      </c>
      <c r="J57" s="31">
        <f t="shared" si="3"/>
        <v>1300</v>
      </c>
      <c r="K57" s="32">
        <f t="shared" si="1"/>
        <v>680</v>
      </c>
      <c r="L57" s="2"/>
      <c r="M57" s="2"/>
    </row>
    <row r="58" spans="1:14" s="52" customFormat="1" ht="15" x14ac:dyDescent="0.2">
      <c r="A58" s="49">
        <v>46227</v>
      </c>
      <c r="B58" s="50">
        <v>666002</v>
      </c>
      <c r="C58" s="50" t="s">
        <v>103</v>
      </c>
      <c r="D58" s="53" t="s">
        <v>18</v>
      </c>
      <c r="E58" s="28">
        <v>3</v>
      </c>
      <c r="F58" s="57">
        <v>15</v>
      </c>
      <c r="G58" s="7">
        <v>25</v>
      </c>
      <c r="H58" s="29">
        <f t="shared" si="2"/>
        <v>75</v>
      </c>
      <c r="I58" s="30">
        <v>0</v>
      </c>
      <c r="J58" s="31">
        <f t="shared" si="3"/>
        <v>75</v>
      </c>
      <c r="K58" s="32">
        <f t="shared" si="1"/>
        <v>45</v>
      </c>
      <c r="L58" s="2"/>
      <c r="M58" s="2"/>
    </row>
    <row r="59" spans="1:14" s="52" customFormat="1" ht="15" x14ac:dyDescent="0.2">
      <c r="A59" s="49">
        <v>46228</v>
      </c>
      <c r="B59" s="50">
        <v>666010</v>
      </c>
      <c r="C59" s="50" t="s">
        <v>104</v>
      </c>
      <c r="D59" s="53" t="s">
        <v>57</v>
      </c>
      <c r="E59" s="28">
        <v>100</v>
      </c>
      <c r="F59" s="57">
        <v>3.4</v>
      </c>
      <c r="G59" s="7">
        <v>7</v>
      </c>
      <c r="H59" s="29">
        <f t="shared" si="2"/>
        <v>700</v>
      </c>
      <c r="I59" s="30">
        <v>50</v>
      </c>
      <c r="J59" s="31">
        <f t="shared" si="3"/>
        <v>650</v>
      </c>
      <c r="K59" s="32">
        <f t="shared" si="1"/>
        <v>340</v>
      </c>
      <c r="L59" s="2"/>
      <c r="M59" s="2"/>
    </row>
    <row r="60" spans="1:14" ht="15" x14ac:dyDescent="0.2">
      <c r="A60" s="26">
        <v>46230</v>
      </c>
      <c r="B60" s="59">
        <v>666002</v>
      </c>
      <c r="C60" s="27" t="s">
        <v>120</v>
      </c>
      <c r="D60" s="33" t="s">
        <v>18</v>
      </c>
      <c r="E60" s="28">
        <v>1</v>
      </c>
      <c r="F60" s="57">
        <v>15</v>
      </c>
      <c r="G60" s="7">
        <v>25</v>
      </c>
      <c r="H60" s="29">
        <f t="shared" si="2"/>
        <v>25</v>
      </c>
      <c r="I60" s="30">
        <v>0</v>
      </c>
      <c r="J60" s="31">
        <f t="shared" si="3"/>
        <v>25</v>
      </c>
      <c r="K60" s="32">
        <f t="shared" si="1"/>
        <v>15</v>
      </c>
    </row>
    <row r="61" spans="1:14" ht="15" x14ac:dyDescent="0.2">
      <c r="A61" s="26">
        <v>46230</v>
      </c>
      <c r="B61" s="59">
        <v>666002</v>
      </c>
      <c r="C61" s="27" t="s">
        <v>121</v>
      </c>
      <c r="D61" s="33" t="s">
        <v>18</v>
      </c>
      <c r="E61" s="28">
        <v>6</v>
      </c>
      <c r="F61" s="57">
        <v>15</v>
      </c>
      <c r="G61" s="7">
        <v>25</v>
      </c>
      <c r="H61" s="29">
        <f t="shared" si="2"/>
        <v>150</v>
      </c>
      <c r="I61" s="30">
        <v>0</v>
      </c>
      <c r="J61" s="31">
        <f t="shared" si="3"/>
        <v>150</v>
      </c>
      <c r="K61" s="32">
        <f t="shared" si="1"/>
        <v>90</v>
      </c>
      <c r="N61" s="34"/>
    </row>
    <row r="62" spans="1:14" ht="15" x14ac:dyDescent="0.2">
      <c r="A62" s="26">
        <v>46230</v>
      </c>
      <c r="B62" s="59">
        <v>666010</v>
      </c>
      <c r="C62" s="27" t="s">
        <v>122</v>
      </c>
      <c r="D62" s="33" t="s">
        <v>57</v>
      </c>
      <c r="E62" s="28">
        <v>200</v>
      </c>
      <c r="F62" s="57">
        <v>3.4</v>
      </c>
      <c r="G62" s="7">
        <v>7</v>
      </c>
      <c r="H62" s="29">
        <f t="shared" si="2"/>
        <v>1400</v>
      </c>
      <c r="I62" s="30">
        <v>100</v>
      </c>
      <c r="J62" s="31">
        <f t="shared" si="3"/>
        <v>1300</v>
      </c>
      <c r="K62" s="32">
        <f t="shared" si="1"/>
        <v>680</v>
      </c>
    </row>
    <row r="63" spans="1:14" ht="15" x14ac:dyDescent="0.2">
      <c r="A63" s="26">
        <v>46230</v>
      </c>
      <c r="B63" s="59">
        <v>666001</v>
      </c>
      <c r="C63" s="27" t="s">
        <v>123</v>
      </c>
      <c r="D63" s="33" t="s">
        <v>17</v>
      </c>
      <c r="E63" s="28">
        <v>10</v>
      </c>
      <c r="F63" s="57">
        <v>15</v>
      </c>
      <c r="G63" s="7">
        <v>25</v>
      </c>
      <c r="H63" s="29">
        <f t="shared" si="2"/>
        <v>250</v>
      </c>
      <c r="I63" s="30">
        <v>0</v>
      </c>
      <c r="J63" s="31">
        <f t="shared" si="3"/>
        <v>250</v>
      </c>
      <c r="K63" s="32">
        <f t="shared" si="1"/>
        <v>150</v>
      </c>
    </row>
    <row r="64" spans="1:14" ht="15" x14ac:dyDescent="0.2">
      <c r="A64" s="26">
        <v>46230</v>
      </c>
      <c r="B64" s="59">
        <v>666002</v>
      </c>
      <c r="C64" s="27"/>
      <c r="D64" s="33" t="s">
        <v>18</v>
      </c>
      <c r="E64" s="28">
        <v>5</v>
      </c>
      <c r="F64" s="57">
        <v>15</v>
      </c>
      <c r="G64" s="7">
        <v>25</v>
      </c>
      <c r="H64" s="29">
        <f t="shared" si="2"/>
        <v>125</v>
      </c>
      <c r="I64" s="30">
        <v>75</v>
      </c>
      <c r="J64" s="31">
        <f t="shared" si="3"/>
        <v>50</v>
      </c>
      <c r="K64" s="32">
        <f t="shared" si="1"/>
        <v>75</v>
      </c>
    </row>
    <row r="65" spans="1:11" ht="15" x14ac:dyDescent="0.2">
      <c r="A65" s="26">
        <v>46231</v>
      </c>
      <c r="B65" s="59">
        <v>666001</v>
      </c>
      <c r="C65" s="27" t="s">
        <v>124</v>
      </c>
      <c r="D65" s="33" t="s">
        <v>17</v>
      </c>
      <c r="E65" s="28">
        <v>5</v>
      </c>
      <c r="F65" s="57">
        <v>15</v>
      </c>
      <c r="G65" s="7">
        <v>25</v>
      </c>
      <c r="H65" s="29">
        <f t="shared" si="2"/>
        <v>125</v>
      </c>
      <c r="I65" s="30">
        <v>0</v>
      </c>
      <c r="J65" s="31">
        <f t="shared" si="3"/>
        <v>125</v>
      </c>
      <c r="K65" s="32">
        <f t="shared" si="1"/>
        <v>75</v>
      </c>
    </row>
    <row r="66" spans="1:11" ht="15" x14ac:dyDescent="0.2">
      <c r="A66" s="26">
        <v>46231</v>
      </c>
      <c r="B66" s="59">
        <v>666001</v>
      </c>
      <c r="C66" s="27" t="s">
        <v>125</v>
      </c>
      <c r="D66" s="33" t="s">
        <v>17</v>
      </c>
      <c r="E66" s="28">
        <v>3</v>
      </c>
      <c r="F66" s="57">
        <v>15</v>
      </c>
      <c r="G66" s="7">
        <v>25</v>
      </c>
      <c r="H66" s="29">
        <f t="shared" si="2"/>
        <v>75</v>
      </c>
      <c r="I66" s="30">
        <v>0</v>
      </c>
      <c r="J66" s="31">
        <f t="shared" si="3"/>
        <v>75</v>
      </c>
      <c r="K66" s="32">
        <f t="shared" si="1"/>
        <v>45</v>
      </c>
    </row>
    <row r="67" spans="1:11" ht="15" x14ac:dyDescent="0.2">
      <c r="A67" s="26">
        <v>46232</v>
      </c>
      <c r="B67" s="59">
        <v>666002</v>
      </c>
      <c r="C67" s="27" t="s">
        <v>126</v>
      </c>
      <c r="D67" s="33" t="s">
        <v>18</v>
      </c>
      <c r="E67" s="28">
        <v>8</v>
      </c>
      <c r="F67" s="57">
        <v>15</v>
      </c>
      <c r="G67" s="7">
        <v>25</v>
      </c>
      <c r="H67" s="29">
        <f t="shared" si="2"/>
        <v>200</v>
      </c>
      <c r="I67" s="30">
        <v>0</v>
      </c>
      <c r="J67" s="31">
        <f t="shared" si="3"/>
        <v>200</v>
      </c>
      <c r="K67" s="32">
        <f t="shared" si="1"/>
        <v>120</v>
      </c>
    </row>
    <row r="68" spans="1:11" ht="15" x14ac:dyDescent="0.2">
      <c r="A68" s="26">
        <v>46232</v>
      </c>
      <c r="B68" s="59">
        <v>666001</v>
      </c>
      <c r="C68" s="27"/>
      <c r="D68" s="33" t="s">
        <v>17</v>
      </c>
      <c r="E68" s="28">
        <v>5</v>
      </c>
      <c r="F68" s="57">
        <v>15</v>
      </c>
      <c r="G68" s="7">
        <v>25</v>
      </c>
      <c r="H68" s="29">
        <f t="shared" si="2"/>
        <v>125</v>
      </c>
      <c r="I68" s="30">
        <v>0</v>
      </c>
      <c r="J68" s="31">
        <f t="shared" si="3"/>
        <v>125</v>
      </c>
      <c r="K68" s="32">
        <f t="shared" si="1"/>
        <v>75</v>
      </c>
    </row>
    <row r="69" spans="1:11" ht="15" x14ac:dyDescent="0.2">
      <c r="A69" s="26">
        <v>46232</v>
      </c>
      <c r="B69" s="59">
        <v>666010</v>
      </c>
      <c r="C69" s="27"/>
      <c r="D69" s="33" t="s">
        <v>57</v>
      </c>
      <c r="E69" s="28">
        <v>200</v>
      </c>
      <c r="F69" s="57">
        <v>3.4</v>
      </c>
      <c r="G69" s="7">
        <v>7</v>
      </c>
      <c r="H69" s="29">
        <f t="shared" si="2"/>
        <v>1400</v>
      </c>
      <c r="I69" s="30">
        <v>100</v>
      </c>
      <c r="J69" s="31">
        <f t="shared" si="3"/>
        <v>1300</v>
      </c>
      <c r="K69" s="32">
        <f t="shared" si="1"/>
        <v>680</v>
      </c>
    </row>
    <row r="70" spans="1:11" ht="15" x14ac:dyDescent="0.2">
      <c r="A70" s="26">
        <v>46233</v>
      </c>
      <c r="B70" s="59">
        <v>666001</v>
      </c>
      <c r="C70" s="27" t="s">
        <v>127</v>
      </c>
      <c r="D70" s="33" t="s">
        <v>17</v>
      </c>
      <c r="E70" s="28">
        <v>6</v>
      </c>
      <c r="F70" s="57">
        <v>15</v>
      </c>
      <c r="G70" s="7">
        <v>25</v>
      </c>
      <c r="H70" s="29">
        <f t="shared" si="2"/>
        <v>150</v>
      </c>
      <c r="I70" s="30">
        <v>0</v>
      </c>
      <c r="J70" s="31">
        <f t="shared" si="3"/>
        <v>150</v>
      </c>
      <c r="K70" s="32">
        <f t="shared" si="1"/>
        <v>90</v>
      </c>
    </row>
    <row r="71" spans="1:11" ht="15" x14ac:dyDescent="0.2">
      <c r="A71" s="26">
        <v>46233</v>
      </c>
      <c r="B71" s="59">
        <v>666002</v>
      </c>
      <c r="C71" s="27" t="s">
        <v>128</v>
      </c>
      <c r="D71" s="33" t="s">
        <v>18</v>
      </c>
      <c r="E71" s="28">
        <v>4</v>
      </c>
      <c r="F71" s="57">
        <v>15</v>
      </c>
      <c r="G71" s="7">
        <v>25</v>
      </c>
      <c r="H71" s="29">
        <f t="shared" si="2"/>
        <v>100</v>
      </c>
      <c r="I71" s="30">
        <v>0</v>
      </c>
      <c r="J71" s="31">
        <f t="shared" si="3"/>
        <v>100</v>
      </c>
      <c r="K71" s="32">
        <f t="shared" si="1"/>
        <v>60</v>
      </c>
    </row>
    <row r="72" spans="1:11" ht="15" x14ac:dyDescent="0.2">
      <c r="A72" s="26">
        <v>46234</v>
      </c>
      <c r="B72" s="59">
        <v>666002</v>
      </c>
      <c r="C72" s="27" t="s">
        <v>129</v>
      </c>
      <c r="D72" s="33" t="s">
        <v>18</v>
      </c>
      <c r="E72" s="28">
        <v>7</v>
      </c>
      <c r="F72" s="57">
        <v>15</v>
      </c>
      <c r="G72" s="7">
        <v>25</v>
      </c>
      <c r="H72" s="29">
        <f t="shared" si="2"/>
        <v>175</v>
      </c>
      <c r="I72" s="30">
        <v>0</v>
      </c>
      <c r="J72" s="31">
        <f t="shared" si="3"/>
        <v>175</v>
      </c>
      <c r="K72" s="32">
        <f t="shared" si="1"/>
        <v>105</v>
      </c>
    </row>
    <row r="73" spans="1:11" ht="15" x14ac:dyDescent="0.2">
      <c r="A73" s="26">
        <v>46234</v>
      </c>
      <c r="B73" s="59">
        <v>666001</v>
      </c>
      <c r="C73" s="27"/>
      <c r="D73" s="33" t="s">
        <v>17</v>
      </c>
      <c r="E73" s="28">
        <v>3</v>
      </c>
      <c r="F73" s="57">
        <v>15</v>
      </c>
      <c r="G73" s="7">
        <v>25</v>
      </c>
      <c r="H73" s="29">
        <f t="shared" si="2"/>
        <v>75</v>
      </c>
      <c r="I73" s="30">
        <v>0</v>
      </c>
      <c r="J73" s="31">
        <f t="shared" si="3"/>
        <v>75</v>
      </c>
      <c r="K73" s="32">
        <f t="shared" si="1"/>
        <v>45</v>
      </c>
    </row>
    <row r="74" spans="1:11" ht="15" x14ac:dyDescent="0.2">
      <c r="A74" s="26">
        <v>46234</v>
      </c>
      <c r="B74" s="59">
        <v>666010</v>
      </c>
      <c r="C74" s="27" t="s">
        <v>130</v>
      </c>
      <c r="D74" s="33" t="s">
        <v>57</v>
      </c>
      <c r="E74" s="28">
        <v>50</v>
      </c>
      <c r="F74" s="57">
        <v>3.4</v>
      </c>
      <c r="G74" s="7">
        <v>7</v>
      </c>
      <c r="H74" s="29">
        <f t="shared" si="2"/>
        <v>350</v>
      </c>
      <c r="I74" s="30">
        <v>0</v>
      </c>
      <c r="J74" s="31">
        <f t="shared" si="3"/>
        <v>350</v>
      </c>
      <c r="K74" s="32">
        <f t="shared" si="1"/>
        <v>170</v>
      </c>
    </row>
    <row r="75" spans="1:11" ht="15.75" thickBot="1" x14ac:dyDescent="0.25">
      <c r="A75" s="26" t="s">
        <v>119</v>
      </c>
      <c r="B75" s="59">
        <v>666001</v>
      </c>
      <c r="C75" s="27" t="s">
        <v>131</v>
      </c>
      <c r="D75" s="33" t="s">
        <v>17</v>
      </c>
      <c r="E75" s="28">
        <v>2</v>
      </c>
      <c r="F75" s="57">
        <v>15</v>
      </c>
      <c r="G75" s="7">
        <v>25</v>
      </c>
      <c r="H75" s="29">
        <f t="shared" si="2"/>
        <v>50</v>
      </c>
      <c r="I75" s="30">
        <v>0</v>
      </c>
      <c r="J75" s="31">
        <f t="shared" si="3"/>
        <v>50</v>
      </c>
      <c r="K75" s="32">
        <f t="shared" si="1"/>
        <v>30</v>
      </c>
    </row>
    <row r="76" spans="1:11" ht="13.5" thickBot="1" x14ac:dyDescent="0.25">
      <c r="A76" s="35"/>
      <c r="B76" s="36"/>
      <c r="C76" s="37"/>
      <c r="D76" s="38"/>
      <c r="E76" s="39">
        <f t="shared" ref="E76:K76" si="4">SUM(E6:E75)</f>
        <v>2912</v>
      </c>
      <c r="F76" s="39">
        <f t="shared" si="4"/>
        <v>827.99999999999977</v>
      </c>
      <c r="G76" s="39">
        <f t="shared" si="4"/>
        <v>1408</v>
      </c>
      <c r="H76" s="40">
        <f t="shared" si="4"/>
        <v>25460</v>
      </c>
      <c r="I76" s="39">
        <f t="shared" si="4"/>
        <v>1495</v>
      </c>
      <c r="J76" s="40">
        <f t="shared" si="4"/>
        <v>23965</v>
      </c>
      <c r="K76" s="40">
        <f t="shared" si="4"/>
        <v>13026</v>
      </c>
    </row>
    <row r="77" spans="1:11" x14ac:dyDescent="0.2">
      <c r="I77" s="2" t="s">
        <v>15</v>
      </c>
      <c r="J77" s="2">
        <v>23965</v>
      </c>
    </row>
    <row r="78" spans="1:11" x14ac:dyDescent="0.2">
      <c r="I78" s="2" t="s">
        <v>11</v>
      </c>
      <c r="J78" s="2">
        <f>J76-J77</f>
        <v>0</v>
      </c>
    </row>
    <row r="79" spans="1:11" x14ac:dyDescent="0.2">
      <c r="F79" s="1"/>
    </row>
    <row r="80" spans="1:11" ht="15" x14ac:dyDescent="0.25">
      <c r="D80" s="41"/>
      <c r="I80" s="42"/>
      <c r="J80" s="43"/>
    </row>
    <row r="81" spans="4:10" ht="15" x14ac:dyDescent="0.25">
      <c r="D81" s="9"/>
      <c r="J81" s="43"/>
    </row>
    <row r="82" spans="4:10" ht="15" x14ac:dyDescent="0.25">
      <c r="F82" s="47"/>
      <c r="J82" s="43"/>
    </row>
    <row r="83" spans="4:10" ht="15" x14ac:dyDescent="0.25">
      <c r="D83" s="9"/>
      <c r="F83" s="48"/>
      <c r="J83" s="43"/>
    </row>
    <row r="84" spans="4:10" ht="15" x14ac:dyDescent="0.25">
      <c r="D84" s="9"/>
      <c r="F84" s="47"/>
      <c r="G84" s="44"/>
      <c r="J84" s="43"/>
    </row>
    <row r="85" spans="4:10" ht="15" x14ac:dyDescent="0.25">
      <c r="D85" s="9"/>
      <c r="F85" s="47"/>
      <c r="G85" s="1"/>
      <c r="H85" s="2"/>
      <c r="I85" s="43"/>
      <c r="J85" s="43"/>
    </row>
    <row r="86" spans="4:10" ht="15" x14ac:dyDescent="0.25">
      <c r="G86" s="61"/>
      <c r="I86" s="42"/>
      <c r="J86" s="43"/>
    </row>
    <row r="87" spans="4:10" ht="15" x14ac:dyDescent="0.25">
      <c r="G87" s="61"/>
      <c r="I87" s="42"/>
      <c r="J87" s="43"/>
    </row>
    <row r="88" spans="4:10" ht="15" x14ac:dyDescent="0.25">
      <c r="I88" s="42"/>
      <c r="J88" s="43"/>
    </row>
    <row r="89" spans="4:10" ht="15" x14ac:dyDescent="0.25">
      <c r="I89" s="42"/>
      <c r="J89" s="43"/>
    </row>
    <row r="90" spans="4:10" ht="15" x14ac:dyDescent="0.25">
      <c r="E90" s="10"/>
      <c r="I90" s="43"/>
      <c r="J90" s="43"/>
    </row>
    <row r="91" spans="4:10" ht="15" x14ac:dyDescent="0.25">
      <c r="I91" s="42"/>
      <c r="J91" s="43"/>
    </row>
    <row r="92" spans="4:10" ht="15" x14ac:dyDescent="0.25">
      <c r="I92" s="42"/>
      <c r="J92" s="43"/>
    </row>
    <row r="93" spans="4:10" ht="15" x14ac:dyDescent="0.25">
      <c r="I93" s="42"/>
      <c r="J93" s="43"/>
    </row>
    <row r="94" spans="4:10" ht="15" x14ac:dyDescent="0.25">
      <c r="I94" s="42"/>
      <c r="J94" s="43"/>
    </row>
    <row r="95" spans="4:10" ht="15" x14ac:dyDescent="0.25">
      <c r="I95" s="42"/>
      <c r="J95" s="43"/>
    </row>
    <row r="96" spans="4:10" ht="15" x14ac:dyDescent="0.25">
      <c r="I96" s="42"/>
      <c r="J96" s="43"/>
    </row>
    <row r="97" spans="5:10" ht="15" x14ac:dyDescent="0.25">
      <c r="I97" s="43"/>
      <c r="J97" s="45"/>
    </row>
    <row r="99" spans="5:10" x14ac:dyDescent="0.2">
      <c r="J99" s="46"/>
    </row>
    <row r="100" spans="5:10" ht="15" customHeight="1" x14ac:dyDescent="0.2"/>
    <row r="101" spans="5:10" ht="15" customHeight="1" x14ac:dyDescent="0.2"/>
    <row r="102" spans="5:10" ht="15" customHeight="1" x14ac:dyDescent="0.2"/>
    <row r="103" spans="5:10" ht="15" customHeight="1" x14ac:dyDescent="0.2"/>
    <row r="104" spans="5:10" ht="15" customHeight="1" x14ac:dyDescent="0.2"/>
    <row r="105" spans="5:10" ht="15" customHeight="1" x14ac:dyDescent="0.2"/>
    <row r="106" spans="5:10" ht="15" customHeight="1" x14ac:dyDescent="0.2"/>
    <row r="107" spans="5:10" ht="15" customHeight="1" x14ac:dyDescent="0.2"/>
    <row r="108" spans="5:10" ht="15" customHeight="1" x14ac:dyDescent="0.2"/>
    <row r="109" spans="5:10" ht="15" customHeight="1" x14ac:dyDescent="0.2"/>
    <row r="110" spans="5:10" ht="15" customHeight="1" x14ac:dyDescent="0.2"/>
    <row r="111" spans="5:10" x14ac:dyDescent="0.2">
      <c r="F111" s="1"/>
    </row>
    <row r="112" spans="5:10" x14ac:dyDescent="0.2">
      <c r="E112" s="8"/>
      <c r="F112" s="1"/>
    </row>
    <row r="113" spans="5:8" x14ac:dyDescent="0.2">
      <c r="E113" s="10"/>
      <c r="F113" s="1"/>
      <c r="G113" s="2"/>
    </row>
    <row r="114" spans="5:8" x14ac:dyDescent="0.2">
      <c r="E114" s="8"/>
      <c r="F114" s="1"/>
    </row>
    <row r="115" spans="5:8" x14ac:dyDescent="0.2">
      <c r="F115" s="1"/>
      <c r="G115" s="1"/>
    </row>
    <row r="116" spans="5:8" ht="15" customHeight="1" x14ac:dyDescent="0.2"/>
    <row r="117" spans="5:8" x14ac:dyDescent="0.2">
      <c r="F117" s="1"/>
    </row>
    <row r="118" spans="5:8" ht="15" customHeight="1" x14ac:dyDescent="0.2"/>
    <row r="119" spans="5:8" x14ac:dyDescent="0.2">
      <c r="E119" s="10"/>
      <c r="F119" s="1"/>
      <c r="G119" s="62"/>
      <c r="H119" s="10"/>
    </row>
    <row r="120" spans="5:8" x14ac:dyDescent="0.2">
      <c r="E120" s="10"/>
      <c r="G120" s="62"/>
      <c r="H120" s="2"/>
    </row>
    <row r="121" spans="5:8" x14ac:dyDescent="0.2">
      <c r="E121" s="10"/>
      <c r="G121" s="62"/>
      <c r="H121" s="2"/>
    </row>
    <row r="122" spans="5:8" x14ac:dyDescent="0.2">
      <c r="E122" s="10"/>
      <c r="G122" s="62"/>
      <c r="H122" s="2"/>
    </row>
    <row r="123" spans="5:8" x14ac:dyDescent="0.2">
      <c r="E123" s="10"/>
      <c r="G123" s="62"/>
      <c r="H123" s="10"/>
    </row>
    <row r="124" spans="5:8" x14ac:dyDescent="0.2">
      <c r="E124" s="10"/>
      <c r="G124" s="62"/>
      <c r="H124" s="10"/>
    </row>
    <row r="125" spans="5:8" ht="15" customHeight="1" x14ac:dyDescent="0.2"/>
    <row r="126" spans="5:8" ht="15" customHeight="1" x14ac:dyDescent="0.2"/>
    <row r="127" spans="5:8" ht="15" customHeight="1" x14ac:dyDescent="0.2"/>
    <row r="128" spans="5: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  <row r="501" ht="15" customHeight="1" x14ac:dyDescent="0.2"/>
    <row r="502" ht="15" customHeight="1" x14ac:dyDescent="0.2"/>
    <row r="503" ht="15" customHeight="1" x14ac:dyDescent="0.2"/>
    <row r="504" ht="15" customHeight="1" x14ac:dyDescent="0.2"/>
    <row r="505" ht="15" customHeight="1" x14ac:dyDescent="0.2"/>
    <row r="506" ht="15" customHeight="1" x14ac:dyDescent="0.2"/>
    <row r="507" ht="15" customHeight="1" x14ac:dyDescent="0.2"/>
    <row r="508" ht="15" customHeight="1" x14ac:dyDescent="0.2"/>
    <row r="509" ht="15" customHeight="1" x14ac:dyDescent="0.2"/>
    <row r="510" ht="15" customHeight="1" x14ac:dyDescent="0.2"/>
    <row r="511" ht="15" customHeight="1" x14ac:dyDescent="0.2"/>
    <row r="512" ht="15" customHeight="1" x14ac:dyDescent="0.2"/>
    <row r="513" ht="15" customHeight="1" x14ac:dyDescent="0.2"/>
    <row r="514" ht="15" customHeight="1" x14ac:dyDescent="0.2"/>
    <row r="515" ht="15" customHeight="1" x14ac:dyDescent="0.2"/>
    <row r="516" ht="15" customHeight="1" x14ac:dyDescent="0.2"/>
    <row r="517" ht="15" customHeight="1" x14ac:dyDescent="0.2"/>
    <row r="518" ht="15" customHeight="1" x14ac:dyDescent="0.2"/>
    <row r="519" ht="15" customHeight="1" x14ac:dyDescent="0.2"/>
    <row r="520" ht="15" customHeight="1" x14ac:dyDescent="0.2"/>
    <row r="521" ht="15" customHeight="1" x14ac:dyDescent="0.2"/>
    <row r="522" ht="15" customHeight="1" x14ac:dyDescent="0.2"/>
    <row r="523" ht="15" customHeight="1" x14ac:dyDescent="0.2"/>
    <row r="540" ht="15" customHeight="1" x14ac:dyDescent="0.2"/>
    <row r="541" ht="15" customHeight="1" x14ac:dyDescent="0.2"/>
    <row r="542" ht="15" customHeight="1" x14ac:dyDescent="0.2"/>
    <row r="543" ht="15" customHeight="1" x14ac:dyDescent="0.2"/>
    <row r="544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</sheetData>
  <autoFilter ref="A5:P78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BIGASAN</vt:lpstr>
      <vt:lpstr>WHT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AMPC-Nerissa Duldulao</dc:creator>
  <cp:lastModifiedBy>AMPC</cp:lastModifiedBy>
  <dcterms:created xsi:type="dcterms:W3CDTF">2026-05-06T05:26:36Z</dcterms:created>
  <dcterms:modified xsi:type="dcterms:W3CDTF">2026-08-06T06:22:59Z</dcterms:modified>
</cp:coreProperties>
</file>